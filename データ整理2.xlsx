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out\Dropbox\"/>
    </mc:Choice>
  </mc:AlternateContent>
  <xr:revisionPtr revIDLastSave="0" documentId="13_ncr:1_{D67D7F4F-ACE1-49A7-A61D-D1165B599AFD}" xr6:coauthVersionLast="47" xr6:coauthVersionMax="47" xr10:uidLastSave="{00000000-0000-0000-0000-000000000000}"/>
  <bookViews>
    <workbookView xWindow="-110" yWindow="-110" windowWidth="19420" windowHeight="10660" firstSheet="4" activeTab="6" xr2:uid="{2960E692-13C7-4C97-A099-087EA1DF380B}"/>
  </bookViews>
  <sheets>
    <sheet name="kanoga" sheetId="1" r:id="rId1"/>
    <sheet name="kaneishi" sheetId="2" r:id="rId2"/>
    <sheet name="all" sheetId="3" r:id="rId3"/>
    <sheet name="ハイパーパラメータ" sheetId="4" r:id="rId4"/>
    <sheet name="特徴量" sheetId="6" r:id="rId5"/>
    <sheet name="Sheet1" sheetId="7" r:id="rId6"/>
    <sheet name="k-fold and LOSO" sheetId="9" r:id="rId7"/>
    <sheet name="ウィンドウサイズ検討" sheetId="10" r:id="rId8"/>
    <sheet name="Sheet2" sheetId="11" r:id="rId9"/>
    <sheet name="dz" sheetId="8" r:id="rId10"/>
    <sheet name="k-fold" sheetId="5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7" l="1"/>
  <c r="G2" i="7"/>
  <c r="H54" i="4"/>
  <c r="E54" i="4"/>
  <c r="H53" i="4"/>
  <c r="E53" i="4"/>
  <c r="AB6" i="4"/>
  <c r="AB7" i="4"/>
  <c r="AB8" i="4"/>
  <c r="AB9" i="4"/>
  <c r="AB10" i="4"/>
  <c r="AB11" i="4"/>
  <c r="AB12" i="4"/>
  <c r="AB13" i="4"/>
  <c r="AB14" i="4"/>
  <c r="AB5" i="4"/>
  <c r="S6" i="4"/>
  <c r="S7" i="4"/>
  <c r="S8" i="4"/>
  <c r="S9" i="4"/>
  <c r="S10" i="4"/>
  <c r="S11" i="4"/>
  <c r="S12" i="4"/>
  <c r="S13" i="4"/>
  <c r="S14" i="4"/>
  <c r="S5" i="4"/>
  <c r="J6" i="4"/>
  <c r="J7" i="4"/>
  <c r="J8" i="4"/>
  <c r="J9" i="4"/>
  <c r="J10" i="4"/>
  <c r="J11" i="4"/>
  <c r="J12" i="4"/>
  <c r="J13" i="4"/>
  <c r="J14" i="4"/>
  <c r="J5" i="4"/>
  <c r="AA14" i="4"/>
  <c r="AA13" i="4"/>
  <c r="AA12" i="4"/>
  <c r="AA11" i="4"/>
  <c r="AA10" i="4"/>
  <c r="AA9" i="4"/>
  <c r="AA8" i="4"/>
  <c r="AA7" i="4"/>
  <c r="AA6" i="4"/>
  <c r="AA5" i="4"/>
  <c r="X14" i="4"/>
  <c r="X13" i="4"/>
  <c r="X12" i="4"/>
  <c r="X11" i="4"/>
  <c r="X10" i="4"/>
  <c r="X9" i="4"/>
  <c r="X8" i="4"/>
  <c r="X7" i="4"/>
  <c r="X6" i="4"/>
  <c r="X5" i="4"/>
  <c r="R14" i="4"/>
  <c r="R13" i="4"/>
  <c r="R12" i="4"/>
  <c r="R11" i="4"/>
  <c r="R10" i="4"/>
  <c r="R9" i="4"/>
  <c r="R8" i="4"/>
  <c r="R7" i="4"/>
  <c r="R6" i="4"/>
  <c r="R5" i="4"/>
  <c r="O14" i="4"/>
  <c r="O13" i="4"/>
  <c r="O12" i="4"/>
  <c r="O11" i="4"/>
  <c r="O10" i="4"/>
  <c r="O9" i="4"/>
  <c r="O8" i="4"/>
  <c r="O7" i="4"/>
  <c r="O6" i="4"/>
  <c r="O5" i="4"/>
  <c r="I14" i="4"/>
  <c r="I13" i="4"/>
  <c r="I12" i="4"/>
  <c r="I11" i="4"/>
  <c r="I10" i="4"/>
  <c r="I9" i="4"/>
  <c r="I8" i="4"/>
  <c r="I7" i="4"/>
  <c r="I6" i="4"/>
  <c r="I5" i="4"/>
  <c r="F6" i="4"/>
  <c r="F7" i="4"/>
  <c r="F8" i="4"/>
  <c r="F9" i="4"/>
  <c r="F10" i="4"/>
  <c r="F11" i="4"/>
  <c r="F12" i="4"/>
  <c r="F13" i="4"/>
  <c r="F14" i="4"/>
  <c r="F5" i="4"/>
</calcChain>
</file>

<file path=xl/sharedStrings.xml><?xml version="1.0" encoding="utf-8"?>
<sst xmlns="http://schemas.openxmlformats.org/spreadsheetml/2006/main" count="570" uniqueCount="333">
  <si>
    <t>Subject_specific</t>
    <phoneticPr fontId="1"/>
  </si>
  <si>
    <t>LOSO</t>
    <phoneticPr fontId="1"/>
  </si>
  <si>
    <t>stair_set</t>
    <phoneticPr fontId="1"/>
  </si>
  <si>
    <t>ramp_set</t>
    <phoneticPr fontId="1"/>
  </si>
  <si>
    <t>Ne</t>
    <phoneticPr fontId="1"/>
  </si>
  <si>
    <t>md</t>
    <phoneticPr fontId="1"/>
  </si>
  <si>
    <t>model_size[B]</t>
    <phoneticPr fontId="1"/>
  </si>
  <si>
    <t>kaneishi</t>
    <phoneticPr fontId="1"/>
  </si>
  <si>
    <t>kanoga</t>
    <phoneticPr fontId="1"/>
  </si>
  <si>
    <t>SubjectA</t>
    <phoneticPr fontId="1"/>
  </si>
  <si>
    <t>SubjectB</t>
    <phoneticPr fontId="1"/>
  </si>
  <si>
    <t>SubjectA + SubjectB</t>
    <phoneticPr fontId="1"/>
  </si>
  <si>
    <t>average</t>
    <phoneticPr fontId="1"/>
  </si>
  <si>
    <t>CVFOLD</t>
  </si>
  <si>
    <t>acc</t>
  </si>
  <si>
    <t>macroF1</t>
  </si>
  <si>
    <t>CVMEAN</t>
  </si>
  <si>
    <t>model_size[MB]</t>
    <phoneticPr fontId="1"/>
  </si>
  <si>
    <t>[Permutation] 特徴量重要度ランキング（平均ΔMacro-F1）</t>
  </si>
  <si>
    <t xml:space="preserve"> 1. quat_x_rms                 mean ΔMacro-F1 = -0.0520</t>
  </si>
  <si>
    <t xml:space="preserve"> 2. acc_x_rms                  mean ΔMacro-F1 = -0.0489</t>
  </si>
  <si>
    <t xml:space="preserve"> 3. encoder_angle_min          mean ΔMacro-F1 = -0.0486</t>
  </si>
  <si>
    <t xml:space="preserve"> 4. gyro_z_max                 mean ΔMacro-F1 = -0.0481</t>
  </si>
  <si>
    <t xml:space="preserve"> 5. quat_z_std                 mean ΔMacro-F1 = -0.0454</t>
  </si>
  <si>
    <t xml:space="preserve"> 6. encoder_angle_rms          mean ΔMacro-F1 = -0.0447</t>
  </si>
  <si>
    <t xml:space="preserve"> 7. gyro_z_rms                 mean ΔMacro-F1 = -0.0433</t>
  </si>
  <si>
    <t xml:space="preserve"> 8. quat_x_std                 mean ΔMacro-F1 = -0.0428</t>
  </si>
  <si>
    <t xml:space="preserve"> 9. gyro_z_std                 mean ΔMacro-F1 = -0.0426</t>
  </si>
  <si>
    <t>10. gyro_z_min                 mean ΔMacro-F1 = -0.0426</t>
  </si>
  <si>
    <t>11. acc_y_std                  mean ΔMacro-F1 = -0.0419</t>
  </si>
  <si>
    <t>12. grf_x_max                  mean ΔMacro-F1 = -0.0418</t>
  </si>
  <si>
    <t>13. quat_w_rms                 mean ΔMacro-F1 = -0.0387</t>
  </si>
  <si>
    <t>14. grt_x_mean                 mean ΔMacro-F1 = -0.0163</t>
  </si>
  <si>
    <t>15. grt_x_max                  mean ΔMacro-F1 = -0.0148</t>
  </si>
  <si>
    <t>16. grt_x_min                  mean ΔMacro-F1 = -0.0095</t>
  </si>
  <si>
    <t>17. grt_x_rms                  mean ΔMacro-F1 = -0.0083</t>
  </si>
  <si>
    <t>18. grt_y_min                  mean ΔMacro-F1 = -0.0080</t>
  </si>
  <si>
    <t>19. acc_y_min                  mean ΔMacro-F1 = -0.0047</t>
  </si>
  <si>
    <t>20. gyro_z_mean                mean ΔMacro-F1 = -0.0045</t>
  </si>
  <si>
    <t>21. encoder_angle_max          mean ΔMacro-F1 = -0.0040</t>
  </si>
  <si>
    <t>22. quat_y_rms                 mean ΔMacro-F1 = -0.0039</t>
  </si>
  <si>
    <t>23. grf_y_rms                  mean ΔMacro-F1 = -0.0033</t>
  </si>
  <si>
    <t>24. acc_z_min                  mean ΔMacro-F1 = -0.0032</t>
  </si>
  <si>
    <t>25. grf_z_max                  mean ΔMacro-F1 = -0.0032</t>
  </si>
  <si>
    <t>26. quat_x_max                 mean ΔMacro-F1 = -0.0031</t>
  </si>
  <si>
    <t>27. acc_y_max                  mean ΔMacro-F1 = -0.0030</t>
  </si>
  <si>
    <t>28. grf_x_min                  mean ΔMacro-F1 = -0.0030</t>
  </si>
  <si>
    <t>29. grt_z_min                  mean ΔMacro-F1 = -0.0030</t>
  </si>
  <si>
    <t>30. grf_x_rms                  mean ΔMacro-F1 = -0.0029</t>
  </si>
  <si>
    <t>31. grt_z_max                  mean ΔMacro-F1 = -0.0029</t>
  </si>
  <si>
    <t>32. grt_y_max                  mean ΔMacro-F1 = -0.0029</t>
  </si>
  <si>
    <t>33. acc_z_rms                  mean ΔMacro-F1 = -0.0029</t>
  </si>
  <si>
    <t>34. grt_x_std                  mean ΔMacro-F1 = -0.0028</t>
  </si>
  <si>
    <t>35. acc_y_rms                  mean ΔMacro-F1 = -0.0028</t>
  </si>
  <si>
    <t>36. encoder_angle_std          mean ΔMacro-F1 = -0.0027</t>
  </si>
  <si>
    <t>37. grf_y_max                  mean ΔMacro-F1 = -0.0026</t>
  </si>
  <si>
    <t>38. grf_z_rms                  mean ΔMacro-F1 = -0.0026</t>
  </si>
  <si>
    <t>39. quat_y_std                 mean ΔMacro-F1 = -0.0024</t>
  </si>
  <si>
    <t>40. gyro_y_std                 mean ΔMacro-F1 = -0.0023</t>
  </si>
  <si>
    <t>41. gyro_y_mean                mean ΔMacro-F1 = -0.0023</t>
  </si>
  <si>
    <t>42. gyro_x_min                 mean ΔMacro-F1 = -0.0023</t>
  </si>
  <si>
    <t>43. acc_x_std                  mean ΔMacro-F1 = -0.0022</t>
  </si>
  <si>
    <t>44. encoder_angle_mean         mean ΔMacro-F1 = -0.0021</t>
  </si>
  <si>
    <t>45. grf_z_std                  mean ΔMacro-F1 = -0.0021</t>
  </si>
  <si>
    <t>46. gyro_y_max                 mean ΔMacro-F1 = -0.0020</t>
  </si>
  <si>
    <t>47. grf_x_mean                 mean ΔMacro-F1 = -0.0020</t>
  </si>
  <si>
    <t>48. grt_y_rms                  mean ΔMacro-F1 = -0.0019</t>
  </si>
  <si>
    <t>49. gyro_y_min                 mean ΔMacro-F1 = -0.0018</t>
  </si>
  <si>
    <t>50. quat_x_min                 mean ΔMacro-F1 = -0.0018</t>
  </si>
  <si>
    <t>51. acc_z_std                  mean ΔMacro-F1 = -0.0016</t>
  </si>
  <si>
    <t>52. quat_w_std                 mean ΔMacro-F1 = -0.0015</t>
  </si>
  <si>
    <t>53. grt_y_std                  mean ΔMacro-F1 = -0.0015</t>
  </si>
  <si>
    <t>54. acc_x_max                  mean ΔMacro-F1 = -0.0015</t>
  </si>
  <si>
    <t>55. acc_y_mean                 mean ΔMacro-F1 = -0.0011</t>
  </si>
  <si>
    <t>56. quat_x_mean                mean ΔMacro-F1 = -0.0011</t>
  </si>
  <si>
    <t>57. acc_z_mean                 mean ΔMacro-F1 = -0.0009</t>
  </si>
  <si>
    <t>58. grf_z_mean                 mean ΔMacro-F1 = -0.0008</t>
  </si>
  <si>
    <t>59. grf_y_mean                 mean ΔMacro-F1 = -0.0007</t>
  </si>
  <si>
    <t>60. grt_z_mean                 mean ΔMacro-F1 = -0.0006</t>
  </si>
  <si>
    <t>61. grt_y_mean                 mean ΔMacro-F1 = -0.0005</t>
  </si>
  <si>
    <t>62. gyro_x_mean                mean ΔMacro-F1 = -0.0002</t>
  </si>
  <si>
    <t>63. grt_z_rms                  mean ΔMacro-F1 = -0.0002</t>
  </si>
  <si>
    <t>64. quat_y_max                 mean ΔMacro-F1 = -0.0002</t>
  </si>
  <si>
    <t>65. grf_y_std                  mean ΔMacro-F1 = -0.0000</t>
  </si>
  <si>
    <t>66. gyro_y_rms                 mean ΔMacro-F1 = +0.0000</t>
  </si>
  <si>
    <t>67. gyro_x_std                 mean ΔMacro-F1 = +0.0000</t>
  </si>
  <si>
    <t>68. grf_y_min                  mean ΔMacro-F1 = +0.0001</t>
  </si>
  <si>
    <t>69. acc_z_max                  mean ΔMacro-F1 = +0.0002</t>
  </si>
  <si>
    <t>70. gyro_x_rms                 mean ΔMacro-F1 = +0.0003</t>
  </si>
  <si>
    <t>71. grf_x_std                  mean ΔMacro-F1 = +0.0003</t>
  </si>
  <si>
    <t>72. quat_y_min                 mean ΔMacro-F1 = +0.0004</t>
  </si>
  <si>
    <t>73. grt_z_std                  mean ΔMacro-F1 = +0.0005</t>
  </si>
  <si>
    <t>74. quat_y_mean                mean ΔMacro-F1 = +0.0006</t>
  </si>
  <si>
    <t>75. quat_z_min                 mean ΔMacro-F1 = +0.0007</t>
  </si>
  <si>
    <t>76. quat_w_max                 mean ΔMacro-F1 = +0.0007</t>
  </si>
  <si>
    <t>77. quat_w_mean                mean ΔMacro-F1 = +0.0007</t>
  </si>
  <si>
    <t>78. quat_z_mean                mean ΔMacro-F1 = +0.0008</t>
  </si>
  <si>
    <t>79. acc_x_min                  mean ΔMacro-F1 = +0.0009</t>
  </si>
  <si>
    <t>80. gyro_x_max                 mean ΔMacro-F1 = +0.0011</t>
  </si>
  <si>
    <t>81. quat_w_min                 mean ΔMacro-F1 = +0.0012</t>
  </si>
  <si>
    <t>82. acc_x_mean                 mean ΔMacro-F1 = +0.0013</t>
  </si>
  <si>
    <t>83. grf_z_min                  mean ΔMacro-F1 = +0.0029</t>
  </si>
  <si>
    <t>84. quat_z_max                 mean ΔMacro-F1 = +0.0032</t>
  </si>
  <si>
    <t>85. quat_z_rms                 mean ΔMacro-F1 = +0.0035</t>
  </si>
  <si>
    <t xml:space="preserve"> 1. grt_y_mean                 mean ΔMacro-F1 = -0.0571</t>
  </si>
  <si>
    <t xml:space="preserve"> 2. grf_y_rms                  mean ΔMacro-F1 = -0.0544</t>
  </si>
  <si>
    <t xml:space="preserve"> 3. acc_z_rms                  mean ΔMacro-F1 = -0.0162</t>
  </si>
  <si>
    <t xml:space="preserve"> 4. encoder_angle_rms          mean ΔMacro-F1 = -0.0162</t>
  </si>
  <si>
    <t xml:space="preserve"> 5. gyro_z_std                 mean ΔMacro-F1 = -0.0151</t>
  </si>
  <si>
    <t xml:space="preserve"> 6. acc_z_std                  mean ΔMacro-F1 = -0.0127</t>
  </si>
  <si>
    <t xml:space="preserve"> 7. gyro_y_rms                 mean ΔMacro-F1 = -0.0116</t>
  </si>
  <si>
    <t xml:space="preserve"> 8. grt_y_std                  mean ΔMacro-F1 = -0.0102</t>
  </si>
  <si>
    <t xml:space="preserve"> 9. acc_z_max                  mean ΔMacro-F1 = -0.0091</t>
  </si>
  <si>
    <t>10. encoder_angle_max          mean ΔMacro-F1 = -0.0089</t>
  </si>
  <si>
    <t>11. grt_y_min                  mean ΔMacro-F1 = -0.0072</t>
  </si>
  <si>
    <t>12. gyro_z_min                 mean ΔMacro-F1 = -0.0070</t>
  </si>
  <si>
    <t>13. grt_x_min                  mean ΔMacro-F1 = -0.0050</t>
  </si>
  <si>
    <t>14. grf_z_mean                 mean ΔMacro-F1 = -0.0048</t>
  </si>
  <si>
    <t>15. gyro_x_rms                 mean ΔMacro-F1 = -0.0046</t>
  </si>
  <si>
    <t>16. grt_x_max                  mean ΔMacro-F1 = -0.0034</t>
  </si>
  <si>
    <t>17. gyro_y_max                 mean ΔMacro-F1 = -0.0033</t>
  </si>
  <si>
    <t>18. encoder_angle_min          mean ΔMacro-F1 = -0.0031</t>
  </si>
  <si>
    <t>19. quat_y_rms                 mean ΔMacro-F1 = -0.0029</t>
  </si>
  <si>
    <t>20. quat_x_std                 mean ΔMacro-F1 = -0.0028</t>
  </si>
  <si>
    <t>21. acc_z_mean                 mean ΔMacro-F1 = -0.0026</t>
  </si>
  <si>
    <t>22. grt_x_std                  mean ΔMacro-F1 = -0.0024</t>
  </si>
  <si>
    <t>23. grt_z_std                  mean ΔMacro-F1 = -0.0023</t>
  </si>
  <si>
    <t>24. grf_y_std                  mean ΔMacro-F1 = -0.0022</t>
  </si>
  <si>
    <t>25. gyro_y_std                 mean ΔMacro-F1 = -0.0022</t>
  </si>
  <si>
    <t>26. acc_z_min                  mean ΔMacro-F1 = -0.0021</t>
  </si>
  <si>
    <t>27. acc_y_mean                 mean ΔMacro-F1 = -0.0019</t>
  </si>
  <si>
    <t>28. gyro_x_min                 mean ΔMacro-F1 = -0.0019</t>
  </si>
  <si>
    <t>29. grt_x_rms                  mean ΔMacro-F1 = -0.0018</t>
  </si>
  <si>
    <t>30. quat_y_std                 mean ΔMacro-F1 = -0.0018</t>
  </si>
  <si>
    <t>31. gyro_z_max                 mean ΔMacro-F1 = -0.0017</t>
  </si>
  <si>
    <t>32. grf_y_min                  mean ΔMacro-F1 = -0.0017</t>
  </si>
  <si>
    <t>33. grt_z_min                  mean ΔMacro-F1 = -0.0016</t>
  </si>
  <si>
    <t>34. acc_y_max                  mean ΔMacro-F1 = -0.0014</t>
  </si>
  <si>
    <t>35. grt_y_max                  mean ΔMacro-F1 = -0.0014</t>
  </si>
  <si>
    <t>36. acc_y_std                  mean ΔMacro-F1 = -0.0012</t>
  </si>
  <si>
    <t>37. acc_y_rms                  mean ΔMacro-F1 = -0.0010</t>
  </si>
  <si>
    <t>38. gyro_y_mean                mean ΔMacro-F1 = -0.0009</t>
  </si>
  <si>
    <t>39. acc_x_std                  mean ΔMacro-F1 = -0.0007</t>
  </si>
  <si>
    <t>40. grt_z_max                  mean ΔMacro-F1 = -0.0007</t>
  </si>
  <si>
    <t>41. acc_y_min                  mean ΔMacro-F1 = -0.0005</t>
  </si>
  <si>
    <t>42. gyro_x_mean                mean ΔMacro-F1 = -0.0005</t>
  </si>
  <si>
    <t>43. gyro_y_min                 mean ΔMacro-F1 = -0.0003</t>
  </si>
  <si>
    <t>44. quat_y_mean                mean ΔMacro-F1 = -0.0003</t>
  </si>
  <si>
    <t>45. quat_y_max                 mean ΔMacro-F1 = -0.0002</t>
  </si>
  <si>
    <t>46. quat_w_min                 mean ΔMacro-F1 = -0.0001</t>
  </si>
  <si>
    <t>47. quat_z_min                 mean ΔMacro-F1 = -0.0001</t>
  </si>
  <si>
    <t>48. quat_y_min                 mean ΔMacro-F1 = -0.0000</t>
  </si>
  <si>
    <t>49. quat_z_max                 mean ΔMacro-F1 = -0.0000</t>
  </si>
  <si>
    <t>50. quat_w_mean                mean ΔMacro-F1 = +0.0002</t>
  </si>
  <si>
    <t>51. quat_w_std                 mean ΔMacro-F1 = +0.0002</t>
  </si>
  <si>
    <t>52. quat_w_max                 mean ΔMacro-F1 = +0.0002</t>
  </si>
  <si>
    <t>53. gyro_x_std                 mean ΔMacro-F1 = +0.0006</t>
  </si>
  <si>
    <t>54. quat_z_mean                mean ΔMacro-F1 = +0.0006</t>
  </si>
  <si>
    <t>55. quat_x_max                 mean ΔMacro-F1 = +0.0007</t>
  </si>
  <si>
    <t>56. acc_x_mean                 mean ΔMacro-F1 = +0.0008</t>
  </si>
  <si>
    <t>57. gyro_x_max                 mean ΔMacro-F1 = +0.0009</t>
  </si>
  <si>
    <t>58. quat_z_rms                 mean ΔMacro-F1 = +0.0011</t>
  </si>
  <si>
    <t>59. grf_x_rms                  mean ΔMacro-F1 = +0.0013</t>
  </si>
  <si>
    <t>60. acc_x_max                  mean ΔMacro-F1 = +0.0015</t>
  </si>
  <si>
    <t>61. grt_z_rms                  mean ΔMacro-F1 = +0.0020</t>
  </si>
  <si>
    <t>62. gyro_z_rms                 mean ΔMacro-F1 = +0.0023</t>
  </si>
  <si>
    <t>63. quat_w_rms                 mean ΔMacro-F1 = +0.0023</t>
  </si>
  <si>
    <t>64. grf_y_mean                 mean ΔMacro-F1 = +0.0025</t>
  </si>
  <si>
    <t>65. grt_z_mean                 mean ΔMacro-F1 = +0.0035</t>
  </si>
  <si>
    <t>66. grt_y_rms                  mean ΔMacro-F1 = +0.0043</t>
  </si>
  <si>
    <t>67. grf_y_max                  mean ΔMacro-F1 = +0.0047</t>
  </si>
  <si>
    <t>68. grf_x_std                  mean ΔMacro-F1 = +0.0056</t>
  </si>
  <si>
    <t>69. grf_z_max                  mean ΔMacro-F1 = +0.0083</t>
  </si>
  <si>
    <t>70. encoder_angle_std          mean ΔMacro-F1 = +0.0108</t>
  </si>
  <si>
    <t>71. encoder_angle_mean         mean ΔMacro-F1 = +0.0116</t>
  </si>
  <si>
    <t>72. grt_x_mean                 mean ΔMacro-F1 = +0.0120</t>
  </si>
  <si>
    <t>73. quat_x_min                 mean ΔMacro-F1 = +0.0124</t>
  </si>
  <si>
    <t>74. acc_x_rms                  mean ΔMacro-F1 = +0.0127</t>
  </si>
  <si>
    <t>75. gyro_z_mean                mean ΔMacro-F1 = +0.0140</t>
  </si>
  <si>
    <t>76. quat_z_std                 mean ΔMacro-F1 = +0.0142</t>
  </si>
  <si>
    <t>77. grf_z_rms                  mean ΔMacro-F1 = +0.0142</t>
  </si>
  <si>
    <t>78. grf_z_min                  mean ΔMacro-F1 = +0.0146</t>
  </si>
  <si>
    <t>79. quat_x_mean                mean ΔMacro-F1 = +0.0146</t>
  </si>
  <si>
    <t>80. grf_x_mean                 mean ΔMacro-F1 = +0.0157</t>
  </si>
  <si>
    <t>81. acc_x_min                  mean ΔMacro-F1 = +0.0158</t>
  </si>
  <si>
    <t>82. quat_x_rms                 mean ΔMacro-F1 = +0.0158</t>
  </si>
  <si>
    <t>83. grf_z_std                  mean ΔMacro-F1 = +0.0173</t>
  </si>
  <si>
    <t>84. grf_x_min                  mean ΔMacro-F1 = +0.0196</t>
  </si>
  <si>
    <t>85. grf_x_max                  mean ΔMacro-F1 = +0.0203</t>
  </si>
  <si>
    <t xml:space="preserve"> 1. encoder_angle_min          mean ΔMacro-F1 = -0.0448</t>
  </si>
  <si>
    <t xml:space="preserve"> 2. grt_y_min                  mean ΔMacro-F1 = -0.0311</t>
  </si>
  <si>
    <t xml:space="preserve"> 3. acc_z_min                  mean ΔMacro-F1 = -0.0300</t>
  </si>
  <si>
    <t xml:space="preserve"> 4. grt_x_rms                  mean ΔMacro-F1 = -0.0297</t>
  </si>
  <si>
    <t xml:space="preserve"> 5. grt_y_mean                 mean ΔMacro-F1 = -0.0290</t>
  </si>
  <si>
    <t xml:space="preserve"> 6. acc_x_rms                  mean ΔMacro-F1 = -0.0286</t>
  </si>
  <si>
    <t xml:space="preserve"> 7. quat_x_max                 mean ΔMacro-F1 = -0.0286</t>
  </si>
  <si>
    <t xml:space="preserve"> 8. quat_x_std                 mean ΔMacro-F1 = -0.0281</t>
  </si>
  <si>
    <t xml:space="preserve"> 9. grf_y_mean                 mean ΔMacro-F1 = -0.0278</t>
  </si>
  <si>
    <t>10. encoder_angle_max          mean ΔMacro-F1 = -0.0276</t>
  </si>
  <si>
    <t>11. grt_y_max                  mean ΔMacro-F1 = -0.0029</t>
  </si>
  <si>
    <t>12. gyro_z_rms                 mean ΔMacro-F1 = -0.0028</t>
  </si>
  <si>
    <t>13. grt_x_mean                 mean ΔMacro-F1 = -0.0025</t>
  </si>
  <si>
    <t>14. gyro_z_min                 mean ΔMacro-F1 = -0.0024</t>
  </si>
  <si>
    <t>15. grt_x_min                  mean ΔMacro-F1 = -0.0023</t>
  </si>
  <si>
    <t>16. gyro_y_mean                mean ΔMacro-F1 = -0.0021</t>
  </si>
  <si>
    <t>17. acc_z_mean                 mean ΔMacro-F1 = -0.0019</t>
  </si>
  <si>
    <t>18. quat_y_rms                 mean ΔMacro-F1 = -0.0018</t>
  </si>
  <si>
    <t>19. quat_w_rms                 mean ΔMacro-F1 = -0.0018</t>
  </si>
  <si>
    <t>20. gyro_x_mean                mean ΔMacro-F1 = -0.0014</t>
  </si>
  <si>
    <t>21. grf_y_rms                  mean ΔMacro-F1 = -0.0014</t>
  </si>
  <si>
    <t>22. grf_z_max                  mean ΔMacro-F1 = -0.0014</t>
  </si>
  <si>
    <t>23. grf_y_min                  mean ΔMacro-F1 = -0.0014</t>
  </si>
  <si>
    <t>24. grt_z_min                  mean ΔMacro-F1 = -0.0013</t>
  </si>
  <si>
    <t>25. acc_z_max                  mean ΔMacro-F1 = -0.0012</t>
  </si>
  <si>
    <t>26. acc_y_max                  mean ΔMacro-F1 = -0.0011</t>
  </si>
  <si>
    <t>27. gyro_z_std                 mean ΔMacro-F1 = -0.0009</t>
  </si>
  <si>
    <t>28. gyro_x_std                 mean ΔMacro-F1 = -0.0009</t>
  </si>
  <si>
    <t>29. acc_y_std                  mean ΔMacro-F1 = -0.0007</t>
  </si>
  <si>
    <t>30. acc_z_rms                  mean ΔMacro-F1 = -0.0006</t>
  </si>
  <si>
    <t>31. grt_z_max                  mean ΔMacro-F1 = -0.0005</t>
  </si>
  <si>
    <t>32. quat_x_rms                 mean ΔMacro-F1 = -0.0005</t>
  </si>
  <si>
    <t>33. acc_y_min                  mean ΔMacro-F1 = -0.0004</t>
  </si>
  <si>
    <t>34. quat_z_mean                mean ΔMacro-F1 = -0.0004</t>
  </si>
  <si>
    <t>35. grf_z_rms                  mean ΔMacro-F1 = -0.0004</t>
  </si>
  <si>
    <t>36. grf_x_mean                 mean ΔMacro-F1 = -0.0003</t>
  </si>
  <si>
    <t>37. quat_x_mean                mean ΔMacro-F1 = -0.0002</t>
  </si>
  <si>
    <t>38. quat_z_rms                 mean ΔMacro-F1 = -0.0002</t>
  </si>
  <si>
    <t>39. gyro_x_max                 mean ΔMacro-F1 = -0.0002</t>
  </si>
  <si>
    <t>40. grt_z_std                  mean ΔMacro-F1 = -0.0002</t>
  </si>
  <si>
    <t>41. acc_x_mean                 mean ΔMacro-F1 = -0.0001</t>
  </si>
  <si>
    <t>42. acc_x_max                  mean ΔMacro-F1 = -0.0001</t>
  </si>
  <si>
    <t>43. grt_x_max                  mean ΔMacro-F1 = -0.0001</t>
  </si>
  <si>
    <t>44. gyro_y_std                 mean ΔMacro-F1 = -0.0001</t>
  </si>
  <si>
    <t>45. quat_y_min                 mean ΔMacro-F1 = -0.0000</t>
  </si>
  <si>
    <t>46. acc_y_mean                 mean ΔMacro-F1 = -0.0000</t>
  </si>
  <si>
    <t>47. acc_z_std                  mean ΔMacro-F1 = +0.0000</t>
  </si>
  <si>
    <t>48. gyro_y_min                 mean ΔMacro-F1 = +0.0000</t>
  </si>
  <si>
    <t>49. quat_z_max                 mean ΔMacro-F1 = +0.0000</t>
  </si>
  <si>
    <t>50. quat_z_min                 mean ΔMacro-F1 = +0.0000</t>
  </si>
  <si>
    <t>51. quat_w_max                 mean ΔMacro-F1 = +0.0001</t>
  </si>
  <si>
    <t>52. quat_w_min                 mean ΔMacro-F1 = +0.0002</t>
  </si>
  <si>
    <t>53. gyro_x_min                 mean ΔMacro-F1 = +0.0003</t>
  </si>
  <si>
    <t>54. gyro_x_rms                 mean ΔMacro-F1 = +0.0003</t>
  </si>
  <si>
    <t>55. quat_y_max                 mean ΔMacro-F1 = +0.0004</t>
  </si>
  <si>
    <t>56. quat_y_mean                mean ΔMacro-F1 = +0.0004</t>
  </si>
  <si>
    <t>57. quat_w_mean                mean ΔMacro-F1 = +0.0004</t>
  </si>
  <si>
    <t>58. grf_z_mean                 mean ΔMacro-F1 = +0.0005</t>
  </si>
  <si>
    <t>59. grf_z_min                  mean ΔMacro-F1 = +0.0005</t>
  </si>
  <si>
    <t>60. quat_x_min                 mean ΔMacro-F1 = +0.0005</t>
  </si>
  <si>
    <t>61. grt_x_std                  mean ΔMacro-F1 = +0.0006</t>
  </si>
  <si>
    <t>62. grt_z_rms                  mean ΔMacro-F1 = +0.0008</t>
  </si>
  <si>
    <t>63. encoder_angle_mean         mean ΔMacro-F1 = +0.0011</t>
  </si>
  <si>
    <t>64. acc_y_rms                  mean ΔMacro-F1 = +0.0012</t>
  </si>
  <si>
    <t>65. grf_x_min                  mean ΔMacro-F1 = +0.0014</t>
  </si>
  <si>
    <t>66. acc_x_min                  mean ΔMacro-F1 = +0.0019</t>
  </si>
  <si>
    <t>67. acc_x_std                  mean ΔMacro-F1 = +0.0031</t>
  </si>
  <si>
    <t>68. encoder_angle_std          mean ΔMacro-F1 = +0.0055</t>
  </si>
  <si>
    <t>69. gyro_z_mean                mean ΔMacro-F1 = +0.0386</t>
  </si>
  <si>
    <t>70. quat_z_std                 mean ΔMacro-F1 = +0.0409</t>
  </si>
  <si>
    <t>71. grt_y_rms                  mean ΔMacro-F1 = +0.0411</t>
  </si>
  <si>
    <t>72. gyro_z_max                 mean ΔMacro-F1 = +0.0411</t>
  </si>
  <si>
    <t>73. grf_x_rms                  mean ΔMacro-F1 = +0.0412</t>
  </si>
  <si>
    <t>74. grf_z_std                  mean ΔMacro-F1 = +0.0413</t>
  </si>
  <si>
    <t>75. grf_x_std                  mean ΔMacro-F1 = +0.0415</t>
  </si>
  <si>
    <t>76. gyro_y_rms                 mean ΔMacro-F1 = +0.0418</t>
  </si>
  <si>
    <t>77. quat_y_std                 mean ΔMacro-F1 = +0.0418</t>
  </si>
  <si>
    <t>78. encoder_angle_rms          mean ΔMacro-F1 = +0.0418</t>
  </si>
  <si>
    <t>79. grt_y_std                  mean ΔMacro-F1 = +0.0420</t>
  </si>
  <si>
    <t>80. quat_w_std                 mean ΔMacro-F1 = +0.0421</t>
  </si>
  <si>
    <t>81. grf_y_max                  mean ΔMacro-F1 = +0.0421</t>
  </si>
  <si>
    <t>82. grf_x_max                  mean ΔMacro-F1 = +0.0422</t>
  </si>
  <si>
    <t>83. grt_z_mean                 mean ΔMacro-F1 = +0.0422</t>
  </si>
  <si>
    <t>84. gyro_y_max                 mean ΔMacro-F1 = +0.0425</t>
  </si>
  <si>
    <t>85. grf_y_std                  mean ΔMacro-F1 = +0.0437</t>
  </si>
  <si>
    <t>SubjectA+B</t>
    <phoneticPr fontId="1"/>
  </si>
  <si>
    <t xml:space="preserve"> 1. quat_x_rms                 mean ΔMacro-F1 = -0.0520</t>
    <phoneticPr fontId="1"/>
  </si>
  <si>
    <t>rest</t>
    <phoneticPr fontId="1"/>
  </si>
  <si>
    <t>L-RA</t>
    <phoneticPr fontId="1"/>
  </si>
  <si>
    <t>S-the other</t>
    <phoneticPr fontId="1"/>
  </si>
  <si>
    <t>subject</t>
  </si>
  <si>
    <t>phase</t>
  </si>
  <si>
    <t>channel</t>
  </si>
  <si>
    <t>condA</t>
  </si>
  <si>
    <t>condB</t>
  </si>
  <si>
    <t>has_significance</t>
  </si>
  <si>
    <t>n_sig_clusters</t>
  </si>
  <si>
    <t>best_p_corrected</t>
  </si>
  <si>
    <t>max_abs_t</t>
  </si>
  <si>
    <t>total_sig_span_pct</t>
  </si>
  <si>
    <t>max_abs_dz_mean_in_clusters</t>
  </si>
  <si>
    <t>mean_abs_dz</t>
  </si>
  <si>
    <t>kaneishi</t>
  </si>
  <si>
    <t>stance</t>
  </si>
  <si>
    <t>gyro_z</t>
  </si>
  <si>
    <t>ramp_ascent</t>
  </si>
  <si>
    <t>stair_ascent</t>
  </si>
  <si>
    <t>grf_z</t>
  </si>
  <si>
    <t>grt_y</t>
  </si>
  <si>
    <t>grt_x</t>
  </si>
  <si>
    <t>grf_x</t>
  </si>
  <si>
    <t>gyro_y</t>
  </si>
  <si>
    <t>acc_z</t>
  </si>
  <si>
    <t>grt_z</t>
  </si>
  <si>
    <t>acc_x</t>
  </si>
  <si>
    <t>gyro_x</t>
  </si>
  <si>
    <t>acc_y</t>
  </si>
  <si>
    <t>quat_w</t>
  </si>
  <si>
    <t>quat_x</t>
  </si>
  <si>
    <t>quat_y</t>
  </si>
  <si>
    <t>quat_z</t>
  </si>
  <si>
    <t>grf_y</t>
  </si>
  <si>
    <t>SubjectC</t>
    <phoneticPr fontId="1"/>
  </si>
  <si>
    <t>k-fold</t>
    <phoneticPr fontId="1"/>
  </si>
  <si>
    <t>Accuracy</t>
    <phoneticPr fontId="1"/>
  </si>
  <si>
    <t>F-1</t>
    <phoneticPr fontId="1"/>
  </si>
  <si>
    <t>RF</t>
    <phoneticPr fontId="1"/>
  </si>
  <si>
    <t>QDA</t>
    <phoneticPr fontId="1"/>
  </si>
  <si>
    <t>LDA</t>
    <phoneticPr fontId="1"/>
  </si>
  <si>
    <t xml:space="preserve">Without </t>
    <phoneticPr fontId="1"/>
  </si>
  <si>
    <t>With left leg</t>
    <phoneticPr fontId="1"/>
  </si>
  <si>
    <t>Sub. A</t>
    <phoneticPr fontId="1"/>
  </si>
  <si>
    <t>Sub. B</t>
    <phoneticPr fontId="1"/>
  </si>
  <si>
    <t>Window length</t>
    <phoneticPr fontId="1"/>
  </si>
  <si>
    <t>Hop length</t>
    <phoneticPr fontId="1"/>
  </si>
  <si>
    <t>Sub. C</t>
    <phoneticPr fontId="1"/>
  </si>
  <si>
    <t>ACC</t>
    <phoneticPr fontId="1"/>
  </si>
  <si>
    <t>F1</t>
    <phoneticPr fontId="1"/>
  </si>
  <si>
    <t>15~92 KB</t>
    <phoneticPr fontId="1"/>
  </si>
  <si>
    <t>428~480 KB</t>
    <phoneticPr fontId="1"/>
  </si>
  <si>
    <t>2100 KB</t>
    <phoneticPr fontId="1"/>
  </si>
  <si>
    <t>オーダーは大体MB</t>
    <rPh sb="5" eb="7">
      <t>ダイタイ</t>
    </rPh>
    <phoneticPr fontId="1"/>
  </si>
  <si>
    <t>Sub.D</t>
    <phoneticPr fontId="1"/>
  </si>
  <si>
    <t>SubjectD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</si>
</sst>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3" fontId="0" fillId="0" borderId="0" xfId="0" applyNumberFormat="1">
      <alignment vertical="center"/>
    </xf>
    <xf numFmtId="11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木の本数に対するモデルサイズ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ハイパーパラメータ!$B$2</c:f>
              <c:strCache>
                <c:ptCount val="1"/>
                <c:pt idx="0">
                  <c:v>SubjectA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ハイパーパラメータ!$B$5:$B$9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ハイパーパラメータ!$J$5:$J$9</c:f>
              <c:numCache>
                <c:formatCode>General</c:formatCode>
                <c:ptCount val="5"/>
                <c:pt idx="0">
                  <c:v>6.4103789999999998</c:v>
                </c:pt>
                <c:pt idx="1">
                  <c:v>12.703038999999999</c:v>
                </c:pt>
                <c:pt idx="2">
                  <c:v>19.279553</c:v>
                </c:pt>
                <c:pt idx="3">
                  <c:v>25.689167999999999</c:v>
                </c:pt>
                <c:pt idx="4">
                  <c:v>32.223129999999998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5-48B9-BBA7-F7CB0ABCE1F3}"/>
            </c:ext>
          </c:extLst>
        </c:ser>
        <c:ser>
          <c:idx val="1"/>
          <c:order val="1"/>
          <c:tx>
            <c:strRef>
              <c:f>ハイパーパラメータ!$K$2</c:f>
              <c:strCache>
                <c:ptCount val="1"/>
                <c:pt idx="0">
                  <c:v>SubjectB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ハイパーパラメータ!$B$5:$B$9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ハイパーパラメータ!$S$5:$S$9</c:f>
              <c:numCache>
                <c:formatCode>General</c:formatCode>
                <c:ptCount val="5"/>
                <c:pt idx="0">
                  <c:v>7.0836069999999998</c:v>
                </c:pt>
                <c:pt idx="1">
                  <c:v>14.209906</c:v>
                </c:pt>
                <c:pt idx="2">
                  <c:v>21.232682</c:v>
                </c:pt>
                <c:pt idx="3">
                  <c:v>28.22278</c:v>
                </c:pt>
                <c:pt idx="4">
                  <c:v>35.224077999999999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35-48B9-BBA7-F7CB0ABCE1F3}"/>
            </c:ext>
          </c:extLst>
        </c:ser>
        <c:ser>
          <c:idx val="2"/>
          <c:order val="2"/>
          <c:tx>
            <c:v>A+B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ハイパーパラメータ!$B$5:$B$9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ハイパーパラメータ!$AB$5:$AB$9</c:f>
              <c:numCache>
                <c:formatCode>General</c:formatCode>
                <c:ptCount val="5"/>
                <c:pt idx="0">
                  <c:v>8.8380469999999995</c:v>
                </c:pt>
                <c:pt idx="1">
                  <c:v>17.641290999999999</c:v>
                </c:pt>
                <c:pt idx="2">
                  <c:v>26.451685999999999</c:v>
                </c:pt>
                <c:pt idx="3">
                  <c:v>35.427410000000002</c:v>
                </c:pt>
                <c:pt idx="4">
                  <c:v>44.280372999999997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35-48B9-BBA7-F7CB0ABCE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220159"/>
        <c:axId val="1147147343"/>
      </c:scatterChart>
      <c:valAx>
        <c:axId val="61722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学習の木の本数</a:t>
                </a:r>
                <a:r>
                  <a:rPr lang="en-US" altLang="ja-JP"/>
                  <a:t>[</a:t>
                </a:r>
                <a:r>
                  <a:rPr lang="ja-JP" altLang="en-US"/>
                  <a:t>本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7147343"/>
        <c:crosses val="autoZero"/>
        <c:crossBetween val="midCat"/>
      </c:valAx>
      <c:valAx>
        <c:axId val="114714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モデルサイズ</a:t>
                </a:r>
                <a:r>
                  <a:rPr lang="en-US" altLang="ja-JP"/>
                  <a:t>[MB]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22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木の本数に対する精度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ハイパーパラメータ!$B$2</c:f>
              <c:strCache>
                <c:ptCount val="1"/>
                <c:pt idx="0">
                  <c:v>SubjectA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ハイパーパラメータ!$B$5:$B$9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ハイパーパラメータ!$F$5:$F$9</c:f>
              <c:numCache>
                <c:formatCode>General</c:formatCode>
                <c:ptCount val="5"/>
                <c:pt idx="0">
                  <c:v>0.8234515</c:v>
                </c:pt>
                <c:pt idx="1">
                  <c:v>0.82697149999999997</c:v>
                </c:pt>
                <c:pt idx="2">
                  <c:v>0.82835299999999989</c:v>
                </c:pt>
                <c:pt idx="3">
                  <c:v>0.82978700000000005</c:v>
                </c:pt>
                <c:pt idx="4">
                  <c:v>0.82984000000000002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5-48B9-BBA7-F7CB0ABCE1F3}"/>
            </c:ext>
          </c:extLst>
        </c:ser>
        <c:ser>
          <c:idx val="1"/>
          <c:order val="1"/>
          <c:tx>
            <c:strRef>
              <c:f>ハイパーパラメータ!$K$2</c:f>
              <c:strCache>
                <c:ptCount val="1"/>
                <c:pt idx="0">
                  <c:v>SubjectB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ハイパーパラメータ!$B$5:$B$9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ハイパーパラメータ!$O$5:$O$9</c:f>
              <c:numCache>
                <c:formatCode>General</c:formatCode>
                <c:ptCount val="5"/>
                <c:pt idx="0">
                  <c:v>0.64307800000000004</c:v>
                </c:pt>
                <c:pt idx="1">
                  <c:v>0.64214949999999993</c:v>
                </c:pt>
                <c:pt idx="2">
                  <c:v>0.64083650000000003</c:v>
                </c:pt>
                <c:pt idx="3">
                  <c:v>0.6419125</c:v>
                </c:pt>
                <c:pt idx="4">
                  <c:v>0.64109349999999998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35-48B9-BBA7-F7CB0ABCE1F3}"/>
            </c:ext>
          </c:extLst>
        </c:ser>
        <c:ser>
          <c:idx val="2"/>
          <c:order val="2"/>
          <c:tx>
            <c:strRef>
              <c:f>ハイパーパラメータ!$T$2</c:f>
              <c:strCache>
                <c:ptCount val="1"/>
                <c:pt idx="0">
                  <c:v>SubjectA + SubjectB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ハイパーパラメータ!$B$5:$B$9</c:f>
              <c:numCache>
                <c:formatCode>General</c:formatCode>
                <c:ptCount val="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</c:numCache>
            </c:numRef>
          </c:xVal>
          <c:yVal>
            <c:numRef>
              <c:f>ハイパーパラメータ!$X$5:$X$9</c:f>
              <c:numCache>
                <c:formatCode>General</c:formatCode>
                <c:ptCount val="5"/>
                <c:pt idx="0">
                  <c:v>0.75959650000000001</c:v>
                </c:pt>
                <c:pt idx="1">
                  <c:v>0.76204000000000005</c:v>
                </c:pt>
                <c:pt idx="2">
                  <c:v>0.76292599999999999</c:v>
                </c:pt>
                <c:pt idx="3">
                  <c:v>0.76093549999999999</c:v>
                </c:pt>
                <c:pt idx="4">
                  <c:v>0.75925799999999999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35-48B9-BBA7-F7CB0ABCE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220159"/>
        <c:axId val="1147147343"/>
      </c:scatterChart>
      <c:valAx>
        <c:axId val="61722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学習の木の深さ</a:t>
                </a:r>
                <a:r>
                  <a:rPr lang="en-US" altLang="ja-JP"/>
                  <a:t>[</a:t>
                </a:r>
                <a:r>
                  <a:rPr lang="ja-JP" altLang="en-US"/>
                  <a:t>本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7147343"/>
        <c:crosses val="autoZero"/>
        <c:crossBetween val="midCat"/>
      </c:valAx>
      <c:valAx>
        <c:axId val="114714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22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木の深さに対するモデルサイズ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ハイパーパラメータ!$B$2</c:f>
              <c:strCache>
                <c:ptCount val="1"/>
                <c:pt idx="0">
                  <c:v>SubjectA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ハイパーパラメータ!$C$10:$C$14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ハイパーパラメータ!$J$10:$J$14</c:f>
              <c:numCache>
                <c:formatCode>General</c:formatCode>
                <c:ptCount val="5"/>
                <c:pt idx="0">
                  <c:v>6.4103789999999998</c:v>
                </c:pt>
                <c:pt idx="1">
                  <c:v>24.464541999999998</c:v>
                </c:pt>
                <c:pt idx="2">
                  <c:v>25.694526</c:v>
                </c:pt>
                <c:pt idx="3">
                  <c:v>25.634494</c:v>
                </c:pt>
                <c:pt idx="4">
                  <c:v>25.634494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B7-4651-9A3E-247B973F2B60}"/>
            </c:ext>
          </c:extLst>
        </c:ser>
        <c:ser>
          <c:idx val="1"/>
          <c:order val="1"/>
          <c:tx>
            <c:strRef>
              <c:f>ハイパーパラメータ!$K$2</c:f>
              <c:strCache>
                <c:ptCount val="1"/>
                <c:pt idx="0">
                  <c:v>SubjectB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ハイパーパラメータ!$C$10:$C$14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ハイパーパラメータ!$S$10:$S$14</c:f>
              <c:numCache>
                <c:formatCode>General</c:formatCode>
                <c:ptCount val="5"/>
                <c:pt idx="0">
                  <c:v>7.0836069999999998</c:v>
                </c:pt>
                <c:pt idx="1">
                  <c:v>19.568797999999997</c:v>
                </c:pt>
                <c:pt idx="2">
                  <c:v>20.252222</c:v>
                </c:pt>
                <c:pt idx="3">
                  <c:v>20.267454000000001</c:v>
                </c:pt>
                <c:pt idx="4">
                  <c:v>20.267454000000001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B7-4651-9A3E-247B973F2B60}"/>
            </c:ext>
          </c:extLst>
        </c:ser>
        <c:ser>
          <c:idx val="2"/>
          <c:order val="2"/>
          <c:tx>
            <c:v>A+B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ハイパーパラメータ!$C$10:$C$14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ハイパーパラメータ!$AB$10:$AB$14</c:f>
              <c:numCache>
                <c:formatCode>General</c:formatCode>
                <c:ptCount val="5"/>
                <c:pt idx="0">
                  <c:v>8.8380469999999995</c:v>
                </c:pt>
                <c:pt idx="1">
                  <c:v>53.797565999999996</c:v>
                </c:pt>
                <c:pt idx="2">
                  <c:v>60.366365999999999</c:v>
                </c:pt>
                <c:pt idx="3">
                  <c:v>60.45843</c:v>
                </c:pt>
                <c:pt idx="4">
                  <c:v>60.476349999999996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B7-4651-9A3E-247B973F2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220159"/>
        <c:axId val="1147147343"/>
      </c:scatterChart>
      <c:valAx>
        <c:axId val="61722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学習の木の深さ</a:t>
                </a:r>
                <a:r>
                  <a:rPr lang="en-US" altLang="ja-JP"/>
                  <a:t>[</a:t>
                </a:r>
                <a:r>
                  <a:rPr lang="ja-JP" altLang="en-US"/>
                  <a:t>本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7147343"/>
        <c:crosses val="autoZero"/>
        <c:crossBetween val="midCat"/>
      </c:valAx>
      <c:valAx>
        <c:axId val="114714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モデルサイズ</a:t>
                </a:r>
                <a:r>
                  <a:rPr lang="en-US" altLang="ja-JP"/>
                  <a:t>[MB]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22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木の深さに対する精度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ハイパーパラメータ!$B$2</c:f>
              <c:strCache>
                <c:ptCount val="1"/>
                <c:pt idx="0">
                  <c:v>SubjectA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ハイパーパラメータ!$C$10:$C$14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ハイパーパラメータ!$F$10:$F$14</c:f>
              <c:numCache>
                <c:formatCode>General</c:formatCode>
                <c:ptCount val="5"/>
                <c:pt idx="0">
                  <c:v>0.8234515</c:v>
                </c:pt>
                <c:pt idx="1">
                  <c:v>0.83741149999999998</c:v>
                </c:pt>
                <c:pt idx="2">
                  <c:v>0.83443350000000005</c:v>
                </c:pt>
                <c:pt idx="3">
                  <c:v>0.83765800000000001</c:v>
                </c:pt>
                <c:pt idx="4">
                  <c:v>0.83765800000000001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35-48B9-BBA7-F7CB0ABCE1F3}"/>
            </c:ext>
          </c:extLst>
        </c:ser>
        <c:ser>
          <c:idx val="1"/>
          <c:order val="1"/>
          <c:tx>
            <c:strRef>
              <c:f>ハイパーパラメータ!$K$2</c:f>
              <c:strCache>
                <c:ptCount val="1"/>
                <c:pt idx="0">
                  <c:v>SubjectB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ハイパーパラメータ!$C$10:$C$14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ハイパーパラメータ!$O$10:$O$14</c:f>
              <c:numCache>
                <c:formatCode>General</c:formatCode>
                <c:ptCount val="5"/>
                <c:pt idx="0">
                  <c:v>0.64307800000000004</c:v>
                </c:pt>
                <c:pt idx="1">
                  <c:v>0.64572300000000005</c:v>
                </c:pt>
                <c:pt idx="2">
                  <c:v>0.64595999999999998</c:v>
                </c:pt>
                <c:pt idx="3">
                  <c:v>0.647038</c:v>
                </c:pt>
                <c:pt idx="4">
                  <c:v>0.647038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35-48B9-BBA7-F7CB0ABCE1F3}"/>
            </c:ext>
          </c:extLst>
        </c:ser>
        <c:ser>
          <c:idx val="2"/>
          <c:order val="2"/>
          <c:tx>
            <c:strRef>
              <c:f>ハイパーパラメータ!$T$2</c:f>
              <c:strCache>
                <c:ptCount val="1"/>
                <c:pt idx="0">
                  <c:v>SubjectA + SubjectB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ハイパーパラメータ!$C$10:$C$14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ハイパーパラメータ!$X$10:$X$14</c:f>
              <c:numCache>
                <c:formatCode>General</c:formatCode>
                <c:ptCount val="5"/>
                <c:pt idx="0">
                  <c:v>0.75959650000000001</c:v>
                </c:pt>
                <c:pt idx="1">
                  <c:v>0.82342800000000005</c:v>
                </c:pt>
                <c:pt idx="2">
                  <c:v>0.82502300000000006</c:v>
                </c:pt>
                <c:pt idx="3">
                  <c:v>0.82603350000000009</c:v>
                </c:pt>
                <c:pt idx="4">
                  <c:v>0.82603350000000009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35-48B9-BBA7-F7CB0ABCE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220159"/>
        <c:axId val="1147147343"/>
      </c:scatterChart>
      <c:valAx>
        <c:axId val="617220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学習の木の深さ</a:t>
                </a:r>
                <a:r>
                  <a:rPr lang="en-US" altLang="ja-JP"/>
                  <a:t>[</a:t>
                </a:r>
                <a:r>
                  <a:rPr lang="ja-JP" altLang="en-US"/>
                  <a:t>本</a:t>
                </a:r>
                <a:r>
                  <a:rPr lang="en-US" altLang="ja-JP"/>
                  <a:t>]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147147343"/>
        <c:crosses val="autoZero"/>
        <c:crossBetween val="midCat"/>
      </c:valAx>
      <c:valAx>
        <c:axId val="1147147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精度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17220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L-RA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Sheet1!$G$2</c:f>
              <c:numCache>
                <c:formatCode>General</c:formatCode>
                <c:ptCount val="1"/>
                <c:pt idx="0">
                  <c:v>22.82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CF-4AAA-B656-A6B7512EFFA3}"/>
            </c:ext>
          </c:extLst>
        </c:ser>
        <c:ser>
          <c:idx val="1"/>
          <c:order val="1"/>
          <c:tx>
            <c:strRef>
              <c:f>Sheet1!$F$3</c:f>
              <c:strCache>
                <c:ptCount val="1"/>
                <c:pt idx="0">
                  <c:v>S-the other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Sheet1!$G$3</c:f>
              <c:numCache>
                <c:formatCode>General</c:formatCode>
                <c:ptCount val="1"/>
                <c:pt idx="0">
                  <c:v>29.69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CF-4AAA-B656-A6B7512EFFA3}"/>
            </c:ext>
          </c:extLst>
        </c:ser>
        <c:ser>
          <c:idx val="2"/>
          <c:order val="2"/>
          <c:tx>
            <c:strRef>
              <c:f>Sheet1!$F$4</c:f>
              <c:strCache>
                <c:ptCount val="1"/>
                <c:pt idx="0">
                  <c:v>rest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Sheet1!$G$4</c:f>
              <c:numCache>
                <c:formatCode>General</c:formatCode>
                <c:ptCount val="1"/>
                <c:pt idx="0">
                  <c:v>47.489999999999995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CF-4AAA-B656-A6B7512EF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7438224"/>
        <c:axId val="327450224"/>
      </c:barChart>
      <c:catAx>
        <c:axId val="327438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7450224"/>
        <c:crosses val="autoZero"/>
        <c:auto val="1"/>
        <c:lblAlgn val="ctr"/>
        <c:lblOffset val="100"/>
        <c:noMultiLvlLbl val="0"/>
      </c:catAx>
      <c:valAx>
        <c:axId val="32745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2743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31709220587233"/>
          <c:y val="5.0925925925925923E-2"/>
          <c:w val="0.81722847784869934"/>
          <c:h val="0.84043742848226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'k-fold and LOSO'!$D$3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LOSO'!$E$2:$G$2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LOSO'!$E$3:$G$3</c:f>
              <c:numCache>
                <c:formatCode>General</c:formatCode>
                <c:ptCount val="3"/>
                <c:pt idx="0">
                  <c:v>0.76200000000000001</c:v>
                </c:pt>
                <c:pt idx="1">
                  <c:v>0.72599999999999998</c:v>
                </c:pt>
                <c:pt idx="2">
                  <c:v>0.78300000000000003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9-473E-A341-40EE24A05B10}"/>
            </c:ext>
          </c:extLst>
        </c:ser>
        <c:ser>
          <c:idx val="1"/>
          <c:order val="1"/>
          <c:tx>
            <c:strRef>
              <c:f>'k-fold and LOSO'!$D$4</c:f>
              <c:strCache>
                <c:ptCount val="1"/>
                <c:pt idx="0">
                  <c:v>QDA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LOSO'!$E$2:$G$2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LOSO'!$E$4:$G$4</c:f>
              <c:numCache>
                <c:formatCode>General</c:formatCode>
                <c:ptCount val="3"/>
                <c:pt idx="0">
                  <c:v>0.67900000000000005</c:v>
                </c:pt>
                <c:pt idx="1">
                  <c:v>0.64100000000000001</c:v>
                </c:pt>
                <c:pt idx="2">
                  <c:v>0.73799999999999999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9-473E-A341-40EE24A05B10}"/>
            </c:ext>
          </c:extLst>
        </c:ser>
        <c:ser>
          <c:idx val="2"/>
          <c:order val="2"/>
          <c:tx>
            <c:strRef>
              <c:f>'k-fold and LOSO'!$D$5</c:f>
              <c:strCache>
                <c:ptCount val="1"/>
                <c:pt idx="0">
                  <c:v>LDA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LOSO'!$E$2:$G$2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LOSO'!$E$5:$G$5</c:f>
              <c:numCache>
                <c:formatCode>General</c:formatCode>
                <c:ptCount val="3"/>
                <c:pt idx="0">
                  <c:v>0.73299999999999998</c:v>
                </c:pt>
                <c:pt idx="1">
                  <c:v>0.70399999999999996</c:v>
                </c:pt>
                <c:pt idx="2">
                  <c:v>0.76100000000000001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19-473E-A341-40EE24A05B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5825887"/>
        <c:axId val="1645809567"/>
      </c:barChart>
      <c:catAx>
        <c:axId val="164582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09567"/>
        <c:crosses val="autoZero"/>
        <c:auto val="1"/>
        <c:lblAlgn val="ctr"/>
        <c:lblOffset val="100"/>
        <c:noMultiLvlLbl val="0"/>
      </c:catAx>
      <c:valAx>
        <c:axId val="16458095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 dirty="0"/>
                  <a:t>Accuracy</a:t>
                </a:r>
                <a:endParaRPr lang="ja-JP" altLang="en-US" sz="1600" dirty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2588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102569695735814"/>
          <c:y val="1.7380878639720834E-2"/>
          <c:w val="0.34874225726365016"/>
          <c:h val="0.130138342490755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31709220587233"/>
          <c:y val="5.0925925925925923E-2"/>
          <c:w val="0.81722847784869934"/>
          <c:h val="0.84043742848226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'k-fold and LOSO'!$D$3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LOSO'!$L$2:$N$2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LOSO'!$L$3:$N$3</c:f>
              <c:numCache>
                <c:formatCode>General</c:formatCode>
                <c:ptCount val="3"/>
                <c:pt idx="0">
                  <c:v>0.746</c:v>
                </c:pt>
                <c:pt idx="1">
                  <c:v>0.7</c:v>
                </c:pt>
                <c:pt idx="2">
                  <c:v>0.78700000000000003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9-473E-A341-40EE24A05B10}"/>
            </c:ext>
          </c:extLst>
        </c:ser>
        <c:ser>
          <c:idx val="1"/>
          <c:order val="1"/>
          <c:tx>
            <c:strRef>
              <c:f>'k-fold and LOSO'!$D$4</c:f>
              <c:strCache>
                <c:ptCount val="1"/>
                <c:pt idx="0">
                  <c:v>QDA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LOSO'!$L$2:$N$2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LOSO'!$L$4:$N$4</c:f>
              <c:numCache>
                <c:formatCode>General</c:formatCode>
                <c:ptCount val="3"/>
                <c:pt idx="0">
                  <c:v>0.67700000000000005</c:v>
                </c:pt>
                <c:pt idx="1">
                  <c:v>0.64900000000000002</c:v>
                </c:pt>
                <c:pt idx="2">
                  <c:v>0.74399999999999999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9-473E-A341-40EE24A05B10}"/>
            </c:ext>
          </c:extLst>
        </c:ser>
        <c:ser>
          <c:idx val="2"/>
          <c:order val="2"/>
          <c:tx>
            <c:strRef>
              <c:f>'k-fold and LOSO'!$D$5</c:f>
              <c:strCache>
                <c:ptCount val="1"/>
                <c:pt idx="0">
                  <c:v>LDA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LOSO'!$L$2:$N$2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LOSO'!$L$5:$N$5</c:f>
              <c:numCache>
                <c:formatCode>General</c:formatCode>
                <c:ptCount val="3"/>
                <c:pt idx="0">
                  <c:v>0.72</c:v>
                </c:pt>
                <c:pt idx="1">
                  <c:v>0.69399999999999995</c:v>
                </c:pt>
                <c:pt idx="2">
                  <c:v>0.75800000000000001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19-473E-A341-40EE24A05B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5825887"/>
        <c:axId val="1645809567"/>
      </c:barChart>
      <c:catAx>
        <c:axId val="164582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09567"/>
        <c:crosses val="autoZero"/>
        <c:auto val="1"/>
        <c:lblAlgn val="ctr"/>
        <c:lblOffset val="100"/>
        <c:noMultiLvlLbl val="0"/>
      </c:catAx>
      <c:valAx>
        <c:axId val="16458095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 dirty="0"/>
                  <a:t>F-1</a:t>
                </a:r>
                <a:endParaRPr lang="ja-JP" altLang="en-US" sz="1600" dirty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2588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102569695735814"/>
          <c:y val="1.7380878639720834E-2"/>
          <c:w val="0.34874225726365016"/>
          <c:h val="0.130138342490755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31709220587233"/>
          <c:y val="5.0925925925925923E-2"/>
          <c:w val="0.81722847784869934"/>
          <c:h val="0.84043742848226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'k-fold and LOSO'!$T$3</c:f>
              <c:strCache>
                <c:ptCount val="1"/>
                <c:pt idx="0">
                  <c:v>Without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LOSO'!$U$2:$W$2</c:f>
              <c:strCache>
                <c:ptCount val="3"/>
                <c:pt idx="0">
                  <c:v>RF</c:v>
                </c:pt>
                <c:pt idx="1">
                  <c:v>LDA</c:v>
                </c:pt>
                <c:pt idx="2">
                  <c:v>QDA</c:v>
                </c:pt>
              </c:strCache>
            </c:strRef>
          </c:cat>
          <c:val>
            <c:numRef>
              <c:f>'k-fold and LOSO'!$U$3:$W$3</c:f>
              <c:numCache>
                <c:formatCode>General</c:formatCode>
                <c:ptCount val="3"/>
                <c:pt idx="0">
                  <c:v>0.78300000000000003</c:v>
                </c:pt>
                <c:pt idx="1">
                  <c:v>0.73799999999999999</c:v>
                </c:pt>
                <c:pt idx="2">
                  <c:v>0.76100000000000001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9-473E-A341-40EE24A05B10}"/>
            </c:ext>
          </c:extLst>
        </c:ser>
        <c:ser>
          <c:idx val="1"/>
          <c:order val="1"/>
          <c:tx>
            <c:strRef>
              <c:f>'k-fold and LOSO'!$T$4</c:f>
              <c:strCache>
                <c:ptCount val="1"/>
                <c:pt idx="0">
                  <c:v>With left leg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LOSO'!$U$2:$W$2</c:f>
              <c:strCache>
                <c:ptCount val="3"/>
                <c:pt idx="0">
                  <c:v>RF</c:v>
                </c:pt>
                <c:pt idx="1">
                  <c:v>LDA</c:v>
                </c:pt>
                <c:pt idx="2">
                  <c:v>QDA</c:v>
                </c:pt>
              </c:strCache>
            </c:strRef>
          </c:cat>
          <c:val>
            <c:numRef>
              <c:f>'k-fold and LOSO'!$U$4:$W$4</c:f>
              <c:numCache>
                <c:formatCode>General</c:formatCode>
                <c:ptCount val="3"/>
                <c:pt idx="0">
                  <c:v>0.85</c:v>
                </c:pt>
                <c:pt idx="1">
                  <c:v>0.8</c:v>
                </c:pt>
                <c:pt idx="2">
                  <c:v>0.82199999999999995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9-473E-A341-40EE24A05B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5825887"/>
        <c:axId val="1645809567"/>
      </c:barChart>
      <c:catAx>
        <c:axId val="164582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09567"/>
        <c:crosses val="autoZero"/>
        <c:auto val="1"/>
        <c:lblAlgn val="ctr"/>
        <c:lblOffset val="100"/>
        <c:noMultiLvlLbl val="0"/>
      </c:catAx>
      <c:valAx>
        <c:axId val="16458095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 dirty="0"/>
                  <a:t>Accuracy</a:t>
                </a:r>
                <a:endParaRPr lang="ja-JP" altLang="en-US" sz="1600" dirty="0"/>
              </a:p>
            </c:rich>
          </c:tx>
          <c:layout>
            <c:manualLayout>
              <c:xMode val="edge"/>
              <c:yMode val="edge"/>
              <c:x val="6.83656645663554E-2"/>
              <c:y val="0.354508421088177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2588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952732571843836"/>
          <c:y val="1.3649540700476543E-2"/>
          <c:w val="0.34874225726365016"/>
          <c:h val="0.130138342490755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31709220587233"/>
          <c:y val="5.0925925925925923E-2"/>
          <c:w val="0.81722847784869934"/>
          <c:h val="0.84043742848226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'k-fold and LOSO'!$D$6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LOSO'!$L$2:$N$2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LOSO'!$L$6:$N$6</c:f>
              <c:numCache>
                <c:formatCode>General</c:formatCode>
                <c:ptCount val="3"/>
                <c:pt idx="0">
                  <c:v>0.32200000000000001</c:v>
                </c:pt>
                <c:pt idx="1">
                  <c:v>0.28799999999999998</c:v>
                </c:pt>
                <c:pt idx="2">
                  <c:v>0.374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9-473E-A341-40EE24A05B10}"/>
            </c:ext>
          </c:extLst>
        </c:ser>
        <c:ser>
          <c:idx val="1"/>
          <c:order val="1"/>
          <c:tx>
            <c:strRef>
              <c:f>'k-fold and LOSO'!$D$7</c:f>
              <c:strCache>
                <c:ptCount val="1"/>
                <c:pt idx="0">
                  <c:v>QDA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LOSO'!$L$2:$N$2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LOSO'!$L$7:$N$7</c:f>
              <c:numCache>
                <c:formatCode>General</c:formatCode>
                <c:ptCount val="3"/>
                <c:pt idx="0">
                  <c:v>0.22600000000000001</c:v>
                </c:pt>
                <c:pt idx="1">
                  <c:v>0.29299999999999998</c:v>
                </c:pt>
                <c:pt idx="2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9-473E-A341-40EE24A05B10}"/>
            </c:ext>
          </c:extLst>
        </c:ser>
        <c:ser>
          <c:idx val="2"/>
          <c:order val="2"/>
          <c:tx>
            <c:strRef>
              <c:f>'k-fold and LOSO'!$D$8</c:f>
              <c:strCache>
                <c:ptCount val="1"/>
                <c:pt idx="0">
                  <c:v>LDA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LOSO'!$L$2:$N$2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LOSO'!$L$8:$N$8</c:f>
              <c:numCache>
                <c:formatCode>General</c:formatCode>
                <c:ptCount val="3"/>
                <c:pt idx="0">
                  <c:v>0.32500000000000001</c:v>
                </c:pt>
                <c:pt idx="1">
                  <c:v>0.38500000000000001</c:v>
                </c:pt>
                <c:pt idx="2">
                  <c:v>0.109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19-473E-A341-40EE24A05B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5825887"/>
        <c:axId val="1645809567"/>
      </c:barChart>
      <c:catAx>
        <c:axId val="164582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09567"/>
        <c:crosses val="autoZero"/>
        <c:auto val="1"/>
        <c:lblAlgn val="ctr"/>
        <c:lblOffset val="100"/>
        <c:noMultiLvlLbl val="0"/>
      </c:catAx>
      <c:valAx>
        <c:axId val="16458095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 dirty="0"/>
                  <a:t>F-1</a:t>
                </a:r>
                <a:endParaRPr lang="ja-JP" altLang="en-US" sz="1600" dirty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2588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102569695735814"/>
          <c:y val="1.7380878639720834E-2"/>
          <c:w val="0.34874225726365016"/>
          <c:h val="0.130138342490755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31709220587233"/>
          <c:y val="5.0925925925925923E-2"/>
          <c:w val="0.81722847784869934"/>
          <c:h val="0.84043742848226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'k-fold and LOSO'!$D$6</c:f>
              <c:strCache>
                <c:ptCount val="1"/>
                <c:pt idx="0">
                  <c:v>RF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LOSO'!$E$2:$G$2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LOSO'!$E$6:$G$6</c:f>
              <c:numCache>
                <c:formatCode>General</c:formatCode>
                <c:ptCount val="3"/>
                <c:pt idx="0">
                  <c:v>0.33300000000000002</c:v>
                </c:pt>
                <c:pt idx="1">
                  <c:v>0.35199999999999998</c:v>
                </c:pt>
                <c:pt idx="2">
                  <c:v>0.42199999999999999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9-473E-A341-40EE24A05B10}"/>
            </c:ext>
          </c:extLst>
        </c:ser>
        <c:ser>
          <c:idx val="1"/>
          <c:order val="1"/>
          <c:tx>
            <c:strRef>
              <c:f>'k-fold and LOSO'!$D$7</c:f>
              <c:strCache>
                <c:ptCount val="1"/>
                <c:pt idx="0">
                  <c:v>QDA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LOSO'!$E$2:$G$2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LOSO'!$E$7:$G$7</c:f>
              <c:numCache>
                <c:formatCode>General</c:formatCode>
                <c:ptCount val="3"/>
                <c:pt idx="0">
                  <c:v>0.32100000000000001</c:v>
                </c:pt>
                <c:pt idx="1">
                  <c:v>0.35199999999999998</c:v>
                </c:pt>
                <c:pt idx="2">
                  <c:v>0.20599999999999999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9-473E-A341-40EE24A05B10}"/>
            </c:ext>
          </c:extLst>
        </c:ser>
        <c:ser>
          <c:idx val="2"/>
          <c:order val="2"/>
          <c:tx>
            <c:strRef>
              <c:f>'k-fold and LOSO'!$D$8</c:f>
              <c:strCache>
                <c:ptCount val="1"/>
                <c:pt idx="0">
                  <c:v>LDA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LOSO'!$E$2:$G$2</c:f>
              <c:strCache>
                <c:ptCount val="3"/>
                <c:pt idx="0">
                  <c:v>SubjectA</c:v>
                </c:pt>
                <c:pt idx="1">
                  <c:v>SubjectB</c:v>
                </c:pt>
                <c:pt idx="2">
                  <c:v>SubjectC</c:v>
                </c:pt>
              </c:strCache>
            </c:strRef>
          </c:cat>
          <c:val>
            <c:numRef>
              <c:f>'k-fold and LOSO'!$E$8:$G$8</c:f>
              <c:numCache>
                <c:formatCode>General</c:formatCode>
                <c:ptCount val="3"/>
                <c:pt idx="0">
                  <c:v>0.33300000000000002</c:v>
                </c:pt>
                <c:pt idx="1">
                  <c:v>0.40799999999999997</c:v>
                </c:pt>
                <c:pt idx="2">
                  <c:v>0.17799999999999999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19-473E-A341-40EE24A05B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5825887"/>
        <c:axId val="1645809567"/>
      </c:barChart>
      <c:catAx>
        <c:axId val="164582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09567"/>
        <c:crosses val="autoZero"/>
        <c:auto val="1"/>
        <c:lblAlgn val="ctr"/>
        <c:lblOffset val="100"/>
        <c:noMultiLvlLbl val="0"/>
      </c:catAx>
      <c:valAx>
        <c:axId val="16458095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 dirty="0"/>
                  <a:t>Accuracy</a:t>
                </a:r>
                <a:endParaRPr lang="ja-JP" altLang="en-US" sz="1600" dirty="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ja-JP" alt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2588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4102569695735814"/>
          <c:y val="1.7380878639720834E-2"/>
          <c:w val="0.34874225726365016"/>
          <c:h val="0.130138342490755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531709220587233"/>
          <c:y val="5.0925925925925923E-2"/>
          <c:w val="0.81722847784869934"/>
          <c:h val="0.840437428482263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'k-fold and LOSO'!$T$5</c:f>
              <c:strCache>
                <c:ptCount val="1"/>
                <c:pt idx="0">
                  <c:v>Without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LOSO'!$U$2:$W$2</c:f>
              <c:strCache>
                <c:ptCount val="3"/>
                <c:pt idx="0">
                  <c:v>RF</c:v>
                </c:pt>
                <c:pt idx="1">
                  <c:v>LDA</c:v>
                </c:pt>
                <c:pt idx="2">
                  <c:v>QDA</c:v>
                </c:pt>
              </c:strCache>
            </c:strRef>
          </c:cat>
          <c:val>
            <c:numRef>
              <c:f>'k-fold and LOSO'!$U$5:$W$5</c:f>
              <c:numCache>
                <c:formatCode>General</c:formatCode>
                <c:ptCount val="3"/>
                <c:pt idx="0">
                  <c:v>0.78700000000000003</c:v>
                </c:pt>
                <c:pt idx="1">
                  <c:v>0.74399999999999999</c:v>
                </c:pt>
                <c:pt idx="2">
                  <c:v>0.75800000000000001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19-473E-A341-40EE24A05B10}"/>
            </c:ext>
          </c:extLst>
        </c:ser>
        <c:ser>
          <c:idx val="1"/>
          <c:order val="1"/>
          <c:tx>
            <c:strRef>
              <c:f>'k-fold and LOSO'!$T$6</c:f>
              <c:strCache>
                <c:ptCount val="1"/>
                <c:pt idx="0">
                  <c:v>With left leg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'k-fold and LOSO'!$U$2:$W$2</c:f>
              <c:strCache>
                <c:ptCount val="3"/>
                <c:pt idx="0">
                  <c:v>RF</c:v>
                </c:pt>
                <c:pt idx="1">
                  <c:v>LDA</c:v>
                </c:pt>
                <c:pt idx="2">
                  <c:v>QDA</c:v>
                </c:pt>
              </c:strCache>
            </c:strRef>
          </c:cat>
          <c:val>
            <c:numRef>
              <c:f>'k-fold and LOSO'!$U$6:$W$6</c:f>
              <c:numCache>
                <c:formatCode>General</c:formatCode>
                <c:ptCount val="3"/>
                <c:pt idx="0">
                  <c:v>0.85299999999999998</c:v>
                </c:pt>
                <c:pt idx="1">
                  <c:v>0.81100000000000005</c:v>
                </c:pt>
                <c:pt idx="2">
                  <c:v>0.82099999999999995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19-473E-A341-40EE24A05B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45825887"/>
        <c:axId val="1645809567"/>
      </c:barChart>
      <c:catAx>
        <c:axId val="164582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09567"/>
        <c:crosses val="autoZero"/>
        <c:auto val="1"/>
        <c:lblAlgn val="ctr"/>
        <c:lblOffset val="100"/>
        <c:noMultiLvlLbl val="0"/>
      </c:catAx>
      <c:valAx>
        <c:axId val="164580956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altLang="ja-JP" sz="1600" dirty="0"/>
                  <a:t>F-1</a:t>
                </a:r>
                <a:r>
                  <a:rPr lang="en-US" altLang="ja-JP" sz="1600" baseline="0" dirty="0"/>
                  <a:t> score</a:t>
                </a:r>
                <a:endParaRPr lang="en-US" altLang="ja-JP" sz="1600" dirty="0"/>
              </a:p>
            </c:rich>
          </c:tx>
          <c:layout>
            <c:manualLayout>
              <c:xMode val="edge"/>
              <c:yMode val="edge"/>
              <c:x val="6.83656645663554E-2"/>
              <c:y val="0.354508421088177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 alt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64582588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8952732571843836"/>
          <c:y val="1.3649540700476543E-2"/>
          <c:w val="0.34874225726365016"/>
          <c:h val="0.1301383424907559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ウィンドウサイズ検討!$D$2</c:f>
              <c:strCache>
                <c:ptCount val="1"/>
                <c:pt idx="0">
                  <c:v>150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ウィンドウサイズ検討!$D$4</c:f>
              <c:numCache>
                <c:formatCode>General</c:formatCode>
                <c:ptCount val="1"/>
                <c:pt idx="0">
                  <c:v>0.75201600000000002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150-4432-BF2F-334E71627902}"/>
            </c:ext>
          </c:extLst>
        </c:ser>
        <c:ser>
          <c:idx val="1"/>
          <c:order val="1"/>
          <c:tx>
            <c:strRef>
              <c:f>ウィンドウサイズ検討!$E$2</c:f>
              <c:strCache>
                <c:ptCount val="1"/>
                <c:pt idx="0">
                  <c:v>200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ウィンドウサイズ検討!$E$4</c:f>
              <c:numCache>
                <c:formatCode>General</c:formatCode>
                <c:ptCount val="1"/>
                <c:pt idx="0">
                  <c:v>0.75399300000000002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150-4432-BF2F-334E71627902}"/>
            </c:ext>
          </c:extLst>
        </c:ser>
        <c:ser>
          <c:idx val="2"/>
          <c:order val="2"/>
          <c:tx>
            <c:strRef>
              <c:f>ウィンドウサイズ検討!$F$2</c:f>
              <c:strCache>
                <c:ptCount val="1"/>
                <c:pt idx="0">
                  <c:v>250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ウィンドウサイズ検討!$F$4</c:f>
              <c:numCache>
                <c:formatCode>General</c:formatCode>
                <c:ptCount val="1"/>
                <c:pt idx="0">
                  <c:v>0.76200000000000001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50-4432-BF2F-334E71627902}"/>
            </c:ext>
          </c:extLst>
        </c:ser>
        <c:ser>
          <c:idx val="3"/>
          <c:order val="3"/>
          <c:tx>
            <c:strRef>
              <c:f>ウィンドウサイズ検討!$G$2</c:f>
              <c:strCache>
                <c:ptCount val="1"/>
                <c:pt idx="0">
                  <c:v>300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ウィンドウサイズ検討!$G$4</c:f>
              <c:numCache>
                <c:formatCode>General</c:formatCode>
                <c:ptCount val="1"/>
                <c:pt idx="0">
                  <c:v>0.76757799999999998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150-4432-BF2F-334E71627902}"/>
            </c:ext>
          </c:extLst>
        </c:ser>
        <c:ser>
          <c:idx val="4"/>
          <c:order val="4"/>
          <c:tx>
            <c:strRef>
              <c:f>ウィンドウサイズ検討!$H$2</c:f>
              <c:strCache>
                <c:ptCount val="1"/>
                <c:pt idx="0">
                  <c:v>350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ウィンドウサイズ検討!$H$4</c:f>
              <c:numCache>
                <c:formatCode>General</c:formatCode>
                <c:ptCount val="1"/>
                <c:pt idx="0">
                  <c:v>0.77532699999999999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150-4432-BF2F-334E71627902}"/>
            </c:ext>
          </c:extLst>
        </c:ser>
        <c:ser>
          <c:idx val="5"/>
          <c:order val="5"/>
          <c:tx>
            <c:strRef>
              <c:f>ウィンドウサイズ検討!$I$2</c:f>
              <c:strCache>
                <c:ptCount val="1"/>
                <c:pt idx="0">
                  <c:v>400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ウィンドウサイズ検討!$I$4</c:f>
              <c:numCache>
                <c:formatCode>General</c:formatCode>
                <c:ptCount val="1"/>
                <c:pt idx="0">
                  <c:v>0.77253000000000005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150-4432-BF2F-334E71627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2610575"/>
        <c:axId val="1992611055"/>
      </c:barChart>
      <c:catAx>
        <c:axId val="19926105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2611055"/>
        <c:crosses val="autoZero"/>
        <c:auto val="1"/>
        <c:lblAlgn val="ctr"/>
        <c:lblOffset val="100"/>
        <c:noMultiLvlLbl val="0"/>
      </c:catAx>
      <c:valAx>
        <c:axId val="1992611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92610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SubjectA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990-407F-AADE-1B031DDE4F4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990-407F-AADE-1B031DDE4F4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990-407F-AADE-1B031DDE4F4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990-407F-AADE-1B031DDE4F4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990-407F-AADE-1B031DDE4F4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990-407F-AADE-1B031DDE4F4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990-407F-AADE-1B031DDE4F49}"/>
              </c:ext>
            </c:extLst>
          </c:dPt>
          <c:dLbls>
            <c:numFmt formatCode="#,##0.000_);[Red]\(#,##0.0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'k-fold'!$D$6:$F$19</c:f>
              <c:multiLvlStrCache>
                <c:ptCount val="14"/>
                <c:lvl>
                  <c:pt idx="0">
                    <c:v>acc</c:v>
                  </c:pt>
                  <c:pt idx="1">
                    <c:v>macroF1</c:v>
                  </c:pt>
                  <c:pt idx="2">
                    <c:v>acc</c:v>
                  </c:pt>
                  <c:pt idx="3">
                    <c:v>macroF1</c:v>
                  </c:pt>
                  <c:pt idx="4">
                    <c:v>acc</c:v>
                  </c:pt>
                  <c:pt idx="5">
                    <c:v>macroF1</c:v>
                  </c:pt>
                  <c:pt idx="6">
                    <c:v>acc</c:v>
                  </c:pt>
                  <c:pt idx="7">
                    <c:v>macroF1</c:v>
                  </c:pt>
                  <c:pt idx="8">
                    <c:v>acc</c:v>
                  </c:pt>
                  <c:pt idx="9">
                    <c:v>macroF1</c:v>
                  </c:pt>
                  <c:pt idx="10">
                    <c:v>acc</c:v>
                  </c:pt>
                  <c:pt idx="11">
                    <c:v>macroF1</c:v>
                  </c:pt>
                  <c:pt idx="12">
                    <c:v>acc</c:v>
                  </c:pt>
                  <c:pt idx="13">
                    <c:v>macroF1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  <c:pt idx="6">
                    <c:v>4</c:v>
                  </c:pt>
                  <c:pt idx="8">
                    <c:v>5</c:v>
                  </c:pt>
                  <c:pt idx="10">
                    <c:v>6</c:v>
                  </c:pt>
                  <c:pt idx="12">
                    <c:v>CVMEAN</c:v>
                  </c:pt>
                </c:lvl>
                <c:lvl>
                  <c:pt idx="0">
                    <c:v>SubjectA</c:v>
                  </c:pt>
                </c:lvl>
              </c:multiLvlStrCache>
            </c:multiLvlStrRef>
          </c:cat>
          <c:val>
            <c:numRef>
              <c:f>'k-fold'!$G$6:$G$19</c:f>
              <c:numCache>
                <c:formatCode>General</c:formatCode>
                <c:ptCount val="14"/>
                <c:pt idx="0">
                  <c:v>0.77609300000000003</c:v>
                </c:pt>
                <c:pt idx="1">
                  <c:v>0.77444500000000005</c:v>
                </c:pt>
                <c:pt idx="2">
                  <c:v>0.76588800000000001</c:v>
                </c:pt>
                <c:pt idx="3">
                  <c:v>0.755135</c:v>
                </c:pt>
                <c:pt idx="4">
                  <c:v>0.36258299999999999</c:v>
                </c:pt>
                <c:pt idx="5">
                  <c:v>0.29983700000000002</c:v>
                </c:pt>
                <c:pt idx="6">
                  <c:v>0.759077</c:v>
                </c:pt>
                <c:pt idx="7">
                  <c:v>0.74467099999999997</c:v>
                </c:pt>
                <c:pt idx="8">
                  <c:v>0.41308099999999998</c:v>
                </c:pt>
                <c:pt idx="9">
                  <c:v>0.38218999999999997</c:v>
                </c:pt>
                <c:pt idx="10">
                  <c:v>0.83130899999999996</c:v>
                </c:pt>
                <c:pt idx="11">
                  <c:v>0.82740000000000002</c:v>
                </c:pt>
                <c:pt idx="12">
                  <c:v>0.65133799999999997</c:v>
                </c:pt>
                <c:pt idx="13">
                  <c:v>0.63061299999999998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0-407F-AADE-1B031DDE4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748223"/>
        <c:axId val="2136742943"/>
      </c:barChart>
      <c:catAx>
        <c:axId val="213674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6742943"/>
        <c:crosses val="autoZero"/>
        <c:auto val="1"/>
        <c:lblAlgn val="ctr"/>
        <c:lblOffset val="100"/>
        <c:noMultiLvlLbl val="0"/>
      </c:catAx>
      <c:valAx>
        <c:axId val="213674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674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SubjectB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990-407F-AADE-1B031DDE4F4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6990-407F-AADE-1B031DDE4F4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6990-407F-AADE-1B031DDE4F4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6990-407F-AADE-1B031DDE4F4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6990-407F-AADE-1B031DDE4F4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6990-407F-AADE-1B031DDE4F49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6990-407F-AADE-1B031DDE4F49}"/>
              </c:ext>
            </c:extLst>
          </c:dPt>
          <c:dLbls>
            <c:numFmt formatCode="#,##0.000_);[Red]\(#,##0.0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'k-fold'!$D$20:$F$33</c:f>
              <c:multiLvlStrCache>
                <c:ptCount val="14"/>
                <c:lvl>
                  <c:pt idx="0">
                    <c:v>acc</c:v>
                  </c:pt>
                  <c:pt idx="1">
                    <c:v>macroF1</c:v>
                  </c:pt>
                  <c:pt idx="2">
                    <c:v>acc</c:v>
                  </c:pt>
                  <c:pt idx="3">
                    <c:v>macroF1</c:v>
                  </c:pt>
                  <c:pt idx="4">
                    <c:v>acc</c:v>
                  </c:pt>
                  <c:pt idx="5">
                    <c:v>macroF1</c:v>
                  </c:pt>
                  <c:pt idx="6">
                    <c:v>acc</c:v>
                  </c:pt>
                  <c:pt idx="7">
                    <c:v>macroF1</c:v>
                  </c:pt>
                  <c:pt idx="8">
                    <c:v>acc</c:v>
                  </c:pt>
                  <c:pt idx="9">
                    <c:v>macroF1</c:v>
                  </c:pt>
                  <c:pt idx="10">
                    <c:v>acc</c:v>
                  </c:pt>
                  <c:pt idx="11">
                    <c:v>macroF1</c:v>
                  </c:pt>
                  <c:pt idx="12">
                    <c:v>acc</c:v>
                  </c:pt>
                  <c:pt idx="13">
                    <c:v>macroF1</c:v>
                  </c:pt>
                </c:lvl>
                <c:lvl>
                  <c:pt idx="0">
                    <c:v>1</c:v>
                  </c:pt>
                  <c:pt idx="2">
                    <c:v>2</c:v>
                  </c:pt>
                  <c:pt idx="4">
                    <c:v>3</c:v>
                  </c:pt>
                  <c:pt idx="6">
                    <c:v>4</c:v>
                  </c:pt>
                  <c:pt idx="8">
                    <c:v>5</c:v>
                  </c:pt>
                  <c:pt idx="10">
                    <c:v>6</c:v>
                  </c:pt>
                  <c:pt idx="12">
                    <c:v>CVMEAN</c:v>
                  </c:pt>
                </c:lvl>
                <c:lvl>
                  <c:pt idx="0">
                    <c:v>SubjectB</c:v>
                  </c:pt>
                </c:lvl>
              </c:multiLvlStrCache>
            </c:multiLvlStrRef>
          </c:cat>
          <c:val>
            <c:numRef>
              <c:f>'k-fold'!$G$20:$G$33</c:f>
              <c:numCache>
                <c:formatCode>General</c:formatCode>
                <c:ptCount val="14"/>
                <c:pt idx="0">
                  <c:v>0.70539700000000005</c:v>
                </c:pt>
                <c:pt idx="1">
                  <c:v>0.703457</c:v>
                </c:pt>
                <c:pt idx="2">
                  <c:v>0.60690500000000003</c:v>
                </c:pt>
                <c:pt idx="3">
                  <c:v>0.53219499999999997</c:v>
                </c:pt>
                <c:pt idx="4">
                  <c:v>0.746753</c:v>
                </c:pt>
                <c:pt idx="5">
                  <c:v>0.68967699999999998</c:v>
                </c:pt>
                <c:pt idx="6">
                  <c:v>0.77542500000000003</c:v>
                </c:pt>
                <c:pt idx="7">
                  <c:v>0.67270099999999999</c:v>
                </c:pt>
                <c:pt idx="8">
                  <c:v>0.77866900000000006</c:v>
                </c:pt>
                <c:pt idx="9">
                  <c:v>0.76502499999999996</c:v>
                </c:pt>
                <c:pt idx="10">
                  <c:v>0.58933999999999997</c:v>
                </c:pt>
                <c:pt idx="11">
                  <c:v>0.55411100000000002</c:v>
                </c:pt>
                <c:pt idx="12">
                  <c:v>0.70041500000000001</c:v>
                </c:pt>
                <c:pt idx="13">
                  <c:v>0.65286100000000002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0-407F-AADE-1B031DDE4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6748223"/>
        <c:axId val="2136742943"/>
      </c:barChart>
      <c:catAx>
        <c:axId val="2136748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6742943"/>
        <c:crosses val="autoZero"/>
        <c:auto val="1"/>
        <c:lblAlgn val="ctr"/>
        <c:lblOffset val="100"/>
        <c:noMultiLvlLbl val="0"/>
      </c:catAx>
      <c:valAx>
        <c:axId val="2136742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36748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581618</xdr:colOff>
      <xdr:row>19</xdr:row>
      <xdr:rowOff>165692</xdr:rowOff>
    </xdr:from>
    <xdr:to>
      <xdr:col>10</xdr:col>
      <xdr:colOff>194268</xdr:colOff>
      <xdr:row>31</xdr:row>
      <xdr:rowOff>165693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86D8F24-7040-050E-B661-3D25BC375E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567627</xdr:colOff>
      <xdr:row>36</xdr:row>
      <xdr:rowOff>34575</xdr:rowOff>
    </xdr:from>
    <xdr:to>
      <xdr:col>10</xdr:col>
      <xdr:colOff>164402</xdr:colOff>
      <xdr:row>48</xdr:row>
      <xdr:rowOff>34575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C16F2099-1465-E347-2517-0A22A86AF0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78782</xdr:colOff>
      <xdr:row>18</xdr:row>
      <xdr:rowOff>77490</xdr:rowOff>
    </xdr:from>
    <xdr:to>
      <xdr:col>18</xdr:col>
      <xdr:colOff>709945</xdr:colOff>
      <xdr:row>30</xdr:row>
      <xdr:rowOff>77490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E21B719-0EAD-4676-80D9-65A5AF0A5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418088</xdr:colOff>
      <xdr:row>36</xdr:row>
      <xdr:rowOff>12806</xdr:rowOff>
    </xdr:from>
    <xdr:to>
      <xdr:col>20</xdr:col>
      <xdr:colOff>443488</xdr:colOff>
      <xdr:row>48</xdr:row>
      <xdr:rowOff>12805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B2E872C-18AF-658A-606E-30DE24C5E4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393700</xdr:colOff>
      <xdr:row>2</xdr:row>
      <xdr:rowOff>101600</xdr:rowOff>
    </xdr:from>
    <xdr:to>
      <xdr:col>15</xdr:col>
      <xdr:colOff>342900</xdr:colOff>
      <xdr:row>14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7E192CC-A1AD-4A3F-8539-62EBE8E60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31750</xdr:colOff>
      <xdr:row>10</xdr:row>
      <xdr:rowOff>158750</xdr:rowOff>
    </xdr:from>
    <xdr:to>
      <xdr:col>17</xdr:col>
      <xdr:colOff>652141</xdr:colOff>
      <xdr:row>25</xdr:row>
      <xdr:rowOff>113526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1F2ACB2-2FBB-812E-AD34-D7C36D9345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355600</xdr:colOff>
      <xdr:row>16</xdr:row>
      <xdr:rowOff>158750</xdr:rowOff>
    </xdr:from>
    <xdr:to>
      <xdr:col>9</xdr:col>
      <xdr:colOff>315591</xdr:colOff>
      <xdr:row>31</xdr:row>
      <xdr:rowOff>113526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99BF740-B14F-DD00-0107-A500B47020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17777</xdr:colOff>
      <xdr:row>13</xdr:row>
      <xdr:rowOff>0</xdr:rowOff>
    </xdr:from>
    <xdr:to>
      <xdr:col>30</xdr:col>
      <xdr:colOff>376695</xdr:colOff>
      <xdr:row>29</xdr:row>
      <xdr:rowOff>217626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D2D008C-8F53-BA67-D46F-D1829805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182419</xdr:colOff>
      <xdr:row>26</xdr:row>
      <xdr:rowOff>14432</xdr:rowOff>
    </xdr:from>
    <xdr:to>
      <xdr:col>18</xdr:col>
      <xdr:colOff>142410</xdr:colOff>
      <xdr:row>40</xdr:row>
      <xdr:rowOff>200117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BBAAA67-73B4-CD16-C81E-E9ECFAEBBB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109069</xdr:colOff>
      <xdr:row>26</xdr:row>
      <xdr:rowOff>145335</xdr:rowOff>
    </xdr:from>
    <xdr:to>
      <xdr:col>9</xdr:col>
      <xdr:colOff>78451</xdr:colOff>
      <xdr:row>41</xdr:row>
      <xdr:rowOff>100111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1A09E75F-261F-1C39-C32B-B62346D21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366579</xdr:colOff>
      <xdr:row>14</xdr:row>
      <xdr:rowOff>160986</xdr:rowOff>
    </xdr:from>
    <xdr:to>
      <xdr:col>26</xdr:col>
      <xdr:colOff>400350</xdr:colOff>
      <xdr:row>31</xdr:row>
      <xdr:rowOff>153723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E75FBDCA-964C-7403-D065-A85442AD3E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535726</xdr:colOff>
      <xdr:row>8</xdr:row>
      <xdr:rowOff>153293</xdr:rowOff>
    </xdr:from>
    <xdr:to>
      <xdr:col>16</xdr:col>
      <xdr:colOff>474909</xdr:colOff>
      <xdr:row>20</xdr:row>
      <xdr:rowOff>106071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27DEC72-2C38-B3E9-DE51-E9B4ADCD70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163511</xdr:colOff>
      <xdr:row>6</xdr:row>
      <xdr:rowOff>125412</xdr:rowOff>
    </xdr:from>
    <xdr:to>
      <xdr:col>20</xdr:col>
      <xdr:colOff>171450</xdr:colOff>
      <xdr:row>18</xdr:row>
      <xdr:rowOff>125412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729F8C41-7F93-4A3C-92A8-04F94D716A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334961</xdr:colOff>
      <xdr:row>20</xdr:row>
      <xdr:rowOff>7937</xdr:rowOff>
    </xdr:from>
    <xdr:to>
      <xdr:col>20</xdr:col>
      <xdr:colOff>342900</xdr:colOff>
      <xdr:row>32</xdr:row>
      <xdr:rowOff>7937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12CCD4A-B626-AE40-8A29-7434A1AEE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EF462-1E00-463D-B3E1-57AF569BCF56}">
  <dimension ref="B2:H13"/>
  <sheetViews>
    <sheetView topLeftCell="B1" workbookViewId="0">
      <selection activeCell="B2" sqref="B2:H13"/>
    </sheetView>
  </sheetViews>
  <sheetFormatPr defaultRowHeight="18" x14ac:dyDescent="0.55000000000000004"/>
  <cols>
    <col min="4" max="4" width="10.08203125" customWidth="1"/>
    <col min="5" max="5" width="11" customWidth="1"/>
    <col min="8" max="8" width="11" customWidth="1"/>
  </cols>
  <sheetData>
    <row r="2" spans="2:8" x14ac:dyDescent="0.55000000000000004">
      <c r="D2" s="4" t="s">
        <v>0</v>
      </c>
      <c r="E2" s="4"/>
      <c r="F2" s="4" t="s">
        <v>1</v>
      </c>
      <c r="G2" s="4"/>
    </row>
    <row r="3" spans="2:8" x14ac:dyDescent="0.55000000000000004">
      <c r="B3" t="s">
        <v>4</v>
      </c>
      <c r="C3" t="s">
        <v>5</v>
      </c>
      <c r="D3" t="s">
        <v>2</v>
      </c>
      <c r="E3" t="s">
        <v>3</v>
      </c>
      <c r="F3" t="s">
        <v>2</v>
      </c>
      <c r="G3" t="s">
        <v>3</v>
      </c>
      <c r="H3" t="s">
        <v>6</v>
      </c>
    </row>
    <row r="4" spans="2:8" x14ac:dyDescent="0.55000000000000004">
      <c r="B4">
        <v>100</v>
      </c>
      <c r="C4">
        <v>10</v>
      </c>
      <c r="D4">
        <v>0.84579000000000004</v>
      </c>
      <c r="E4">
        <v>0.80111299999999996</v>
      </c>
      <c r="F4">
        <v>0.361985</v>
      </c>
      <c r="G4">
        <v>0.26916800000000002</v>
      </c>
      <c r="H4">
        <v>6410379</v>
      </c>
    </row>
    <row r="5" spans="2:8" x14ac:dyDescent="0.55000000000000004">
      <c r="B5">
        <v>200</v>
      </c>
      <c r="C5">
        <v>10</v>
      </c>
      <c r="D5">
        <v>0.84726699999999999</v>
      </c>
      <c r="E5">
        <v>0.80667599999999995</v>
      </c>
      <c r="F5">
        <v>0.35888300000000001</v>
      </c>
      <c r="G5">
        <v>0.26741999999999999</v>
      </c>
      <c r="H5" s="1">
        <v>12703039</v>
      </c>
    </row>
    <row r="6" spans="2:8" x14ac:dyDescent="0.55000000000000004">
      <c r="B6">
        <v>300</v>
      </c>
      <c r="C6">
        <v>10</v>
      </c>
      <c r="D6">
        <v>0.84933499999999995</v>
      </c>
      <c r="E6">
        <v>0.80737099999999995</v>
      </c>
      <c r="F6">
        <v>0.35400999999999999</v>
      </c>
      <c r="G6">
        <v>0.27184000000000003</v>
      </c>
      <c r="H6" s="1">
        <v>19279553</v>
      </c>
    </row>
    <row r="7" spans="2:8" x14ac:dyDescent="0.55000000000000004">
      <c r="B7">
        <v>400</v>
      </c>
      <c r="C7">
        <v>10</v>
      </c>
      <c r="D7">
        <v>0.85081200000000001</v>
      </c>
      <c r="E7">
        <v>0.80876199999999998</v>
      </c>
      <c r="F7">
        <v>0.37217499999999998</v>
      </c>
      <c r="G7">
        <v>0.26813999999999999</v>
      </c>
      <c r="H7">
        <v>25689168</v>
      </c>
    </row>
    <row r="8" spans="2:8" x14ac:dyDescent="0.55000000000000004">
      <c r="B8">
        <v>500</v>
      </c>
      <c r="C8">
        <v>10</v>
      </c>
      <c r="D8">
        <v>0.85022200000000003</v>
      </c>
      <c r="E8">
        <v>0.80945800000000001</v>
      </c>
      <c r="F8">
        <v>0.37439099999999997</v>
      </c>
      <c r="G8">
        <v>0.26957900000000001</v>
      </c>
      <c r="H8">
        <v>32223130</v>
      </c>
    </row>
    <row r="9" spans="2:8" x14ac:dyDescent="0.55000000000000004">
      <c r="B9">
        <v>100</v>
      </c>
      <c r="C9">
        <v>10</v>
      </c>
      <c r="D9">
        <v>0.84579000000000004</v>
      </c>
      <c r="E9">
        <v>0.80111299999999996</v>
      </c>
      <c r="F9">
        <v>0.361985</v>
      </c>
      <c r="G9">
        <v>0.26916800000000002</v>
      </c>
      <c r="H9">
        <v>6410379</v>
      </c>
    </row>
    <row r="10" spans="2:8" x14ac:dyDescent="0.55000000000000004">
      <c r="B10">
        <v>100</v>
      </c>
      <c r="C10">
        <v>20</v>
      </c>
      <c r="D10">
        <v>0.84519900000000003</v>
      </c>
      <c r="E10">
        <v>0.82962400000000003</v>
      </c>
      <c r="F10">
        <v>0.351794</v>
      </c>
      <c r="G10">
        <v>0.28859200000000002</v>
      </c>
      <c r="H10">
        <v>24464542</v>
      </c>
    </row>
    <row r="11" spans="2:8" x14ac:dyDescent="0.55000000000000004">
      <c r="B11">
        <v>100</v>
      </c>
      <c r="C11">
        <v>30</v>
      </c>
      <c r="D11">
        <v>0.84411000000000003</v>
      </c>
      <c r="E11">
        <v>0.82475699999999996</v>
      </c>
      <c r="F11">
        <v>0.30696600000000002</v>
      </c>
      <c r="G11">
        <v>0.27913700000000002</v>
      </c>
      <c r="H11">
        <v>25694526</v>
      </c>
    </row>
    <row r="12" spans="2:8" x14ac:dyDescent="0.55000000000000004">
      <c r="B12">
        <v>100</v>
      </c>
      <c r="C12">
        <v>40</v>
      </c>
      <c r="D12">
        <v>0.84499599999999997</v>
      </c>
      <c r="E12">
        <v>0.83031999999999995</v>
      </c>
      <c r="F12">
        <v>0.316411</v>
      </c>
      <c r="G12">
        <v>0.27934199999999998</v>
      </c>
      <c r="H12">
        <v>25634494</v>
      </c>
    </row>
    <row r="13" spans="2:8" x14ac:dyDescent="0.55000000000000004">
      <c r="B13">
        <v>100</v>
      </c>
      <c r="C13">
        <v>50</v>
      </c>
      <c r="D13">
        <v>0.84499599999999997</v>
      </c>
      <c r="E13">
        <v>0.83031999999999995</v>
      </c>
      <c r="F13">
        <v>0.316411</v>
      </c>
      <c r="G13">
        <v>0.27934199999999998</v>
      </c>
      <c r="H13">
        <v>25634494</v>
      </c>
    </row>
  </sheetData>
  <mergeCells count="2">
    <mergeCell ref="D2:E2"/>
    <mergeCell ref="F2:G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91223-AC3F-413D-BDCE-0CF9790633B0}">
  <dimension ref="B2:H13"/>
  <sheetViews>
    <sheetView topLeftCell="B1" workbookViewId="0">
      <selection activeCell="B2" sqref="B2:H13"/>
    </sheetView>
  </sheetViews>
  <sheetFormatPr defaultRowHeight="18" x14ac:dyDescent="0.55000000000000004"/>
  <cols>
    <col min="8" max="8" width="12.4140625" customWidth="1"/>
  </cols>
  <sheetData>
    <row r="2" spans="2:8" x14ac:dyDescent="0.55000000000000004">
      <c r="D2" s="4" t="s">
        <v>0</v>
      </c>
      <c r="E2" s="4"/>
      <c r="F2" s="4" t="s">
        <v>1</v>
      </c>
      <c r="G2" s="4"/>
    </row>
    <row r="3" spans="2:8" x14ac:dyDescent="0.55000000000000004">
      <c r="B3" t="s">
        <v>4</v>
      </c>
      <c r="C3" t="s">
        <v>5</v>
      </c>
      <c r="D3" t="s">
        <v>2</v>
      </c>
      <c r="E3" t="s">
        <v>3</v>
      </c>
      <c r="F3" t="s">
        <v>2</v>
      </c>
      <c r="G3" t="s">
        <v>3</v>
      </c>
      <c r="H3" t="s">
        <v>6</v>
      </c>
    </row>
    <row r="4" spans="2:8" x14ac:dyDescent="0.55000000000000004">
      <c r="B4">
        <v>100</v>
      </c>
      <c r="C4">
        <v>10</v>
      </c>
      <c r="D4">
        <v>0.90784200000000004</v>
      </c>
      <c r="E4">
        <v>0.37831399999999998</v>
      </c>
      <c r="F4">
        <v>0.42422500000000002</v>
      </c>
      <c r="G4">
        <v>0.32962399999999997</v>
      </c>
      <c r="H4">
        <v>7083607</v>
      </c>
    </row>
    <row r="5" spans="2:8" x14ac:dyDescent="0.55000000000000004">
      <c r="B5">
        <v>200</v>
      </c>
      <c r="C5">
        <v>10</v>
      </c>
      <c r="D5">
        <v>0.90917099999999995</v>
      </c>
      <c r="E5">
        <v>0.37512800000000002</v>
      </c>
      <c r="F5">
        <v>0.41772500000000001</v>
      </c>
      <c r="G5">
        <v>0.331015</v>
      </c>
      <c r="H5" s="1">
        <v>14209906</v>
      </c>
    </row>
    <row r="6" spans="2:8" x14ac:dyDescent="0.55000000000000004">
      <c r="B6">
        <v>300</v>
      </c>
      <c r="C6">
        <v>10</v>
      </c>
      <c r="D6">
        <v>0.90695599999999998</v>
      </c>
      <c r="E6">
        <v>0.37471700000000002</v>
      </c>
      <c r="F6">
        <v>0.42422500000000002</v>
      </c>
      <c r="G6">
        <v>0.32962399999999997</v>
      </c>
      <c r="H6">
        <v>21232682</v>
      </c>
    </row>
    <row r="7" spans="2:8" x14ac:dyDescent="0.55000000000000004">
      <c r="B7">
        <v>400</v>
      </c>
      <c r="C7">
        <v>10</v>
      </c>
      <c r="D7">
        <v>0.90828500000000001</v>
      </c>
      <c r="E7">
        <v>0.37553999999999998</v>
      </c>
      <c r="F7">
        <v>0.42658800000000002</v>
      </c>
      <c r="G7">
        <v>0.327538</v>
      </c>
      <c r="H7">
        <v>28222780</v>
      </c>
    </row>
    <row r="8" spans="2:8" x14ac:dyDescent="0.55000000000000004">
      <c r="B8">
        <v>500</v>
      </c>
      <c r="C8">
        <v>10</v>
      </c>
      <c r="D8">
        <v>0.90695599999999998</v>
      </c>
      <c r="E8">
        <v>0.37523099999999998</v>
      </c>
      <c r="F8">
        <v>0.42865599999999998</v>
      </c>
      <c r="G8">
        <v>0.32823400000000003</v>
      </c>
      <c r="H8">
        <v>35224078</v>
      </c>
    </row>
    <row r="9" spans="2:8" x14ac:dyDescent="0.55000000000000004">
      <c r="B9">
        <v>100</v>
      </c>
      <c r="C9">
        <v>10</v>
      </c>
      <c r="D9">
        <v>0.90784200000000004</v>
      </c>
      <c r="E9">
        <v>0.37831399999999998</v>
      </c>
      <c r="F9">
        <v>0.42422500000000002</v>
      </c>
      <c r="G9">
        <v>0.32962399999999997</v>
      </c>
      <c r="H9">
        <v>7083607</v>
      </c>
    </row>
    <row r="10" spans="2:8" x14ac:dyDescent="0.55000000000000004">
      <c r="B10">
        <v>100</v>
      </c>
      <c r="C10">
        <v>20</v>
      </c>
      <c r="D10">
        <v>0.91847599999999996</v>
      </c>
      <c r="E10">
        <v>0.37297000000000002</v>
      </c>
      <c r="F10">
        <v>0.359823</v>
      </c>
      <c r="G10">
        <v>0.34770499999999999</v>
      </c>
      <c r="H10">
        <v>19568798</v>
      </c>
    </row>
    <row r="11" spans="2:8" x14ac:dyDescent="0.55000000000000004">
      <c r="B11">
        <v>100</v>
      </c>
      <c r="C11">
        <v>30</v>
      </c>
      <c r="D11">
        <v>0.91617499999999996</v>
      </c>
      <c r="E11">
        <v>0.375745</v>
      </c>
      <c r="F11">
        <v>0.41452600000000001</v>
      </c>
      <c r="G11">
        <v>0.35187800000000002</v>
      </c>
      <c r="H11">
        <v>20252222</v>
      </c>
    </row>
    <row r="12" spans="2:8" x14ac:dyDescent="0.55000000000000004">
      <c r="B12">
        <v>100</v>
      </c>
      <c r="C12">
        <v>40</v>
      </c>
      <c r="D12">
        <v>0.91853600000000002</v>
      </c>
      <c r="E12">
        <v>0.37553999999999998</v>
      </c>
      <c r="F12">
        <v>0.41098299999999999</v>
      </c>
      <c r="G12">
        <v>0.34492400000000001</v>
      </c>
      <c r="H12">
        <v>20267454</v>
      </c>
    </row>
    <row r="13" spans="2:8" x14ac:dyDescent="0.55000000000000004">
      <c r="B13">
        <v>100</v>
      </c>
      <c r="C13">
        <v>50</v>
      </c>
      <c r="D13">
        <v>0.91853600000000002</v>
      </c>
      <c r="E13">
        <v>0.37553999999999998</v>
      </c>
      <c r="F13">
        <v>0.41098299999999999</v>
      </c>
      <c r="G13">
        <v>0.34492400000000001</v>
      </c>
      <c r="H13">
        <v>20267454</v>
      </c>
    </row>
  </sheetData>
  <mergeCells count="2">
    <mergeCell ref="D2:E2"/>
    <mergeCell ref="F2:G2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A6497-F898-41B5-82D3-B80ACAA959E8}">
  <dimension ref="B2:H13"/>
  <sheetViews>
    <sheetView topLeftCell="B1" workbookViewId="0">
      <selection activeCell="B2" sqref="B2:H13"/>
    </sheetView>
  </sheetViews>
  <sheetFormatPr defaultRowHeight="18" x14ac:dyDescent="0.55000000000000004"/>
  <cols>
    <col min="8" max="8" width="11.08203125" customWidth="1"/>
  </cols>
  <sheetData>
    <row r="2" spans="2:8" x14ac:dyDescent="0.55000000000000004">
      <c r="D2" s="4" t="s">
        <v>8</v>
      </c>
      <c r="E2" s="4"/>
      <c r="F2" s="4" t="s">
        <v>7</v>
      </c>
      <c r="G2" s="4"/>
    </row>
    <row r="3" spans="2:8" x14ac:dyDescent="0.55000000000000004">
      <c r="B3" t="s">
        <v>4</v>
      </c>
      <c r="C3" t="s">
        <v>5</v>
      </c>
      <c r="D3" t="s">
        <v>2</v>
      </c>
      <c r="E3" t="s">
        <v>3</v>
      </c>
      <c r="F3" t="s">
        <v>2</v>
      </c>
      <c r="G3" t="s">
        <v>3</v>
      </c>
      <c r="H3" t="s">
        <v>6</v>
      </c>
    </row>
    <row r="4" spans="2:8" x14ac:dyDescent="0.55000000000000004">
      <c r="B4">
        <v>100</v>
      </c>
      <c r="C4">
        <v>10</v>
      </c>
      <c r="D4">
        <v>0.84047300000000003</v>
      </c>
      <c r="E4">
        <v>0.67871999999999999</v>
      </c>
      <c r="F4">
        <v>0.873726</v>
      </c>
      <c r="G4">
        <v>0.364645</v>
      </c>
      <c r="H4">
        <v>8838047</v>
      </c>
    </row>
    <row r="5" spans="2:8" x14ac:dyDescent="0.55000000000000004">
      <c r="B5">
        <v>200</v>
      </c>
      <c r="C5">
        <v>10</v>
      </c>
      <c r="D5">
        <v>0.83840499999999996</v>
      </c>
      <c r="E5">
        <v>0.68567500000000003</v>
      </c>
      <c r="F5">
        <v>0.87461199999999995</v>
      </c>
      <c r="G5">
        <v>0.362898</v>
      </c>
      <c r="H5" s="1">
        <v>17641291</v>
      </c>
    </row>
    <row r="6" spans="2:8" x14ac:dyDescent="0.55000000000000004">
      <c r="B6">
        <v>300</v>
      </c>
      <c r="C6">
        <v>10</v>
      </c>
      <c r="D6">
        <v>0.84017699999999995</v>
      </c>
      <c r="E6">
        <v>0.68567500000000003</v>
      </c>
      <c r="F6">
        <v>0.875942</v>
      </c>
      <c r="G6">
        <v>0.36454300000000001</v>
      </c>
      <c r="H6">
        <v>26451686</v>
      </c>
    </row>
    <row r="7" spans="2:8" x14ac:dyDescent="0.55000000000000004">
      <c r="B7">
        <v>400</v>
      </c>
      <c r="C7">
        <v>10</v>
      </c>
      <c r="D7">
        <v>0.84106400000000003</v>
      </c>
      <c r="E7">
        <v>0.68080700000000005</v>
      </c>
      <c r="F7">
        <v>0.87638499999999997</v>
      </c>
      <c r="G7">
        <v>0.36680400000000002</v>
      </c>
      <c r="H7">
        <v>35427410</v>
      </c>
    </row>
    <row r="8" spans="2:8" x14ac:dyDescent="0.55000000000000004">
      <c r="B8">
        <v>500</v>
      </c>
      <c r="C8">
        <v>10</v>
      </c>
      <c r="D8">
        <v>0.83840499999999996</v>
      </c>
      <c r="E8">
        <v>0.68011100000000002</v>
      </c>
      <c r="F8">
        <v>0.875498</v>
      </c>
      <c r="G8">
        <v>0.36515900000000001</v>
      </c>
      <c r="H8">
        <v>44280373</v>
      </c>
    </row>
    <row r="9" spans="2:8" x14ac:dyDescent="0.55000000000000004">
      <c r="B9">
        <v>100</v>
      </c>
      <c r="C9">
        <v>10</v>
      </c>
      <c r="D9">
        <v>0.84047300000000003</v>
      </c>
      <c r="E9">
        <v>0.67871999999999999</v>
      </c>
      <c r="F9">
        <v>0.873726</v>
      </c>
      <c r="G9">
        <v>0.364645</v>
      </c>
      <c r="H9">
        <v>8838047</v>
      </c>
    </row>
    <row r="10" spans="2:8" x14ac:dyDescent="0.55000000000000004">
      <c r="B10">
        <v>100</v>
      </c>
      <c r="C10">
        <v>20</v>
      </c>
      <c r="D10">
        <v>0.87356</v>
      </c>
      <c r="E10">
        <v>0.77329599999999998</v>
      </c>
      <c r="F10">
        <v>0.90739899999999996</v>
      </c>
      <c r="G10">
        <v>0.37595099999999998</v>
      </c>
      <c r="H10">
        <v>53797566</v>
      </c>
    </row>
    <row r="11" spans="2:8" x14ac:dyDescent="0.55000000000000004">
      <c r="B11">
        <v>100</v>
      </c>
      <c r="C11">
        <v>30</v>
      </c>
      <c r="D11">
        <v>0.86979600000000001</v>
      </c>
      <c r="E11">
        <v>0.78025</v>
      </c>
      <c r="F11">
        <v>0.90790999999999999</v>
      </c>
      <c r="G11">
        <v>0.38314500000000001</v>
      </c>
      <c r="H11">
        <v>60366366</v>
      </c>
    </row>
    <row r="12" spans="2:8" x14ac:dyDescent="0.55000000000000004">
      <c r="B12">
        <v>100</v>
      </c>
      <c r="C12">
        <v>40</v>
      </c>
      <c r="D12">
        <v>0.86625300000000005</v>
      </c>
      <c r="E12">
        <v>0.78581400000000001</v>
      </c>
      <c r="F12">
        <v>0.91381299999999999</v>
      </c>
      <c r="G12">
        <v>0.38170599999999999</v>
      </c>
      <c r="H12">
        <v>60458430</v>
      </c>
    </row>
    <row r="13" spans="2:8" x14ac:dyDescent="0.55000000000000004">
      <c r="B13">
        <v>100</v>
      </c>
      <c r="C13">
        <v>50</v>
      </c>
      <c r="D13">
        <v>0.86625300000000005</v>
      </c>
      <c r="E13">
        <v>0.78581400000000001</v>
      </c>
      <c r="F13">
        <v>0.91263300000000003</v>
      </c>
      <c r="G13">
        <v>0.380884</v>
      </c>
      <c r="H13">
        <v>60476350</v>
      </c>
    </row>
  </sheetData>
  <mergeCells count="2">
    <mergeCell ref="D2:E2"/>
    <mergeCell ref="F2:G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EAAC-1F34-4B86-B060-C397EE2AC874}">
  <dimension ref="B2:AB54"/>
  <sheetViews>
    <sheetView topLeftCell="A28" zoomScale="91" workbookViewId="0">
      <selection activeCell="J52" sqref="J52"/>
    </sheetView>
  </sheetViews>
  <sheetFormatPr defaultRowHeight="18" x14ac:dyDescent="0.55000000000000004"/>
  <cols>
    <col min="10" max="10" width="13.1640625" customWidth="1"/>
    <col min="19" max="19" width="13.08203125" customWidth="1"/>
    <col min="28" max="28" width="13.83203125" customWidth="1"/>
  </cols>
  <sheetData>
    <row r="2" spans="2:28" x14ac:dyDescent="0.55000000000000004">
      <c r="B2" s="4" t="s">
        <v>9</v>
      </c>
      <c r="C2" s="4"/>
      <c r="D2" s="4"/>
      <c r="E2" s="4"/>
      <c r="F2" s="4"/>
      <c r="G2" s="4"/>
      <c r="H2" s="4"/>
      <c r="I2" s="4"/>
      <c r="J2" s="4"/>
      <c r="K2" s="4" t="s">
        <v>10</v>
      </c>
      <c r="L2" s="4"/>
      <c r="M2" s="4"/>
      <c r="N2" s="4"/>
      <c r="O2" s="4"/>
      <c r="P2" s="4"/>
      <c r="Q2" s="4"/>
      <c r="R2" s="4"/>
      <c r="S2" s="4"/>
      <c r="T2" s="4" t="s">
        <v>11</v>
      </c>
      <c r="U2" s="4"/>
      <c r="V2" s="4"/>
      <c r="W2" s="4"/>
      <c r="X2" s="4"/>
      <c r="Y2" s="4"/>
      <c r="Z2" s="4"/>
      <c r="AA2" s="4"/>
      <c r="AB2" s="4"/>
    </row>
    <row r="3" spans="2:28" x14ac:dyDescent="0.55000000000000004">
      <c r="D3" s="4" t="s">
        <v>0</v>
      </c>
      <c r="E3" s="4"/>
      <c r="F3" s="4"/>
      <c r="G3" s="4" t="s">
        <v>1</v>
      </c>
      <c r="H3" s="4"/>
      <c r="I3" s="4"/>
      <c r="M3" s="4" t="s">
        <v>0</v>
      </c>
      <c r="N3" s="4"/>
      <c r="O3" s="4"/>
      <c r="P3" s="4" t="s">
        <v>1</v>
      </c>
      <c r="Q3" s="4"/>
      <c r="R3" s="4"/>
      <c r="V3" s="4" t="s">
        <v>8</v>
      </c>
      <c r="W3" s="4"/>
      <c r="X3" s="4"/>
      <c r="Y3" s="4" t="s">
        <v>7</v>
      </c>
      <c r="Z3" s="4"/>
      <c r="AA3" s="4"/>
    </row>
    <row r="4" spans="2:28" x14ac:dyDescent="0.55000000000000004">
      <c r="B4" t="s">
        <v>4</v>
      </c>
      <c r="C4" t="s">
        <v>5</v>
      </c>
      <c r="D4" t="s">
        <v>2</v>
      </c>
      <c r="E4" t="s">
        <v>3</v>
      </c>
      <c r="F4" t="s">
        <v>12</v>
      </c>
      <c r="G4" t="s">
        <v>2</v>
      </c>
      <c r="H4" t="s">
        <v>3</v>
      </c>
      <c r="I4" t="s">
        <v>12</v>
      </c>
      <c r="J4" t="s">
        <v>17</v>
      </c>
      <c r="K4" t="s">
        <v>4</v>
      </c>
      <c r="L4" t="s">
        <v>5</v>
      </c>
      <c r="M4" t="s">
        <v>2</v>
      </c>
      <c r="N4" t="s">
        <v>3</v>
      </c>
      <c r="O4" t="s">
        <v>12</v>
      </c>
      <c r="P4" t="s">
        <v>2</v>
      </c>
      <c r="Q4" t="s">
        <v>3</v>
      </c>
      <c r="R4" t="s">
        <v>12</v>
      </c>
      <c r="S4" t="s">
        <v>6</v>
      </c>
      <c r="T4" t="s">
        <v>4</v>
      </c>
      <c r="U4" t="s">
        <v>5</v>
      </c>
      <c r="V4" t="s">
        <v>2</v>
      </c>
      <c r="W4" t="s">
        <v>3</v>
      </c>
      <c r="X4" t="s">
        <v>12</v>
      </c>
      <c r="Y4" t="s">
        <v>2</v>
      </c>
      <c r="Z4" t="s">
        <v>3</v>
      </c>
      <c r="AA4" t="s">
        <v>12</v>
      </c>
      <c r="AB4" t="s">
        <v>6</v>
      </c>
    </row>
    <row r="5" spans="2:28" x14ac:dyDescent="0.55000000000000004">
      <c r="B5">
        <v>100</v>
      </c>
      <c r="C5">
        <v>10</v>
      </c>
      <c r="D5">
        <v>0.84579000000000004</v>
      </c>
      <c r="E5">
        <v>0.80111299999999996</v>
      </c>
      <c r="F5">
        <f>AVERAGE(D5:E5)</f>
        <v>0.8234515</v>
      </c>
      <c r="G5">
        <v>0.361985</v>
      </c>
      <c r="H5">
        <v>0.26916800000000002</v>
      </c>
      <c r="I5">
        <f>AVERAGE(G5:H5)</f>
        <v>0.31557650000000004</v>
      </c>
      <c r="J5">
        <f>J15*10^(-6)</f>
        <v>6.4103789999999998</v>
      </c>
      <c r="K5">
        <v>100</v>
      </c>
      <c r="L5">
        <v>10</v>
      </c>
      <c r="M5">
        <v>0.90784200000000004</v>
      </c>
      <c r="N5">
        <v>0.37831399999999998</v>
      </c>
      <c r="O5">
        <f>AVERAGE(M5:N5)</f>
        <v>0.64307800000000004</v>
      </c>
      <c r="P5">
        <v>0.42422500000000002</v>
      </c>
      <c r="Q5">
        <v>0.32962399999999997</v>
      </c>
      <c r="R5">
        <f>AVERAGE(P5:Q5)</f>
        <v>0.3769245</v>
      </c>
      <c r="S5">
        <f>S15*10^(-6)</f>
        <v>7.0836069999999998</v>
      </c>
      <c r="T5">
        <v>100</v>
      </c>
      <c r="U5">
        <v>10</v>
      </c>
      <c r="V5">
        <v>0.84047300000000003</v>
      </c>
      <c r="W5">
        <v>0.67871999999999999</v>
      </c>
      <c r="X5">
        <f>AVERAGE(V5:W5)</f>
        <v>0.75959650000000001</v>
      </c>
      <c r="Y5">
        <v>0.873726</v>
      </c>
      <c r="Z5">
        <v>0.364645</v>
      </c>
      <c r="AA5">
        <f>AVERAGE(Y5:Z5)</f>
        <v>0.61918549999999994</v>
      </c>
      <c r="AB5">
        <f>AB15*10^(-6)</f>
        <v>8.8380469999999995</v>
      </c>
    </row>
    <row r="6" spans="2:28" x14ac:dyDescent="0.55000000000000004">
      <c r="B6">
        <v>200</v>
      </c>
      <c r="C6">
        <v>10</v>
      </c>
      <c r="D6">
        <v>0.84726699999999999</v>
      </c>
      <c r="E6">
        <v>0.80667599999999995</v>
      </c>
      <c r="F6">
        <f t="shared" ref="F6:F14" si="0">AVERAGE(D6:E6)</f>
        <v>0.82697149999999997</v>
      </c>
      <c r="G6">
        <v>0.35888300000000001</v>
      </c>
      <c r="H6">
        <v>0.26741999999999999</v>
      </c>
      <c r="I6">
        <f t="shared" ref="I6:I14" si="1">AVERAGE(G6:H6)</f>
        <v>0.31315150000000003</v>
      </c>
      <c r="J6">
        <f t="shared" ref="J6:J14" si="2">J16*10^(-6)</f>
        <v>12.703038999999999</v>
      </c>
      <c r="K6">
        <v>200</v>
      </c>
      <c r="L6">
        <v>10</v>
      </c>
      <c r="M6">
        <v>0.90917099999999995</v>
      </c>
      <c r="N6">
        <v>0.37512800000000002</v>
      </c>
      <c r="O6">
        <f t="shared" ref="O6:O14" si="3">AVERAGE(M6:N6)</f>
        <v>0.64214949999999993</v>
      </c>
      <c r="P6">
        <v>0.41772500000000001</v>
      </c>
      <c r="Q6">
        <v>0.331015</v>
      </c>
      <c r="R6">
        <f t="shared" ref="R6:R14" si="4">AVERAGE(P6:Q6)</f>
        <v>0.37436999999999998</v>
      </c>
      <c r="S6">
        <f t="shared" ref="S6:S14" si="5">S16*10^(-6)</f>
        <v>14.209906</v>
      </c>
      <c r="T6">
        <v>200</v>
      </c>
      <c r="U6">
        <v>10</v>
      </c>
      <c r="V6">
        <v>0.83840499999999996</v>
      </c>
      <c r="W6">
        <v>0.68567500000000003</v>
      </c>
      <c r="X6">
        <f t="shared" ref="X6:X14" si="6">AVERAGE(V6:W6)</f>
        <v>0.76204000000000005</v>
      </c>
      <c r="Y6">
        <v>0.87461199999999995</v>
      </c>
      <c r="Z6">
        <v>0.362898</v>
      </c>
      <c r="AA6">
        <f t="shared" ref="AA6:AA14" si="7">AVERAGE(Y6:Z6)</f>
        <v>0.61875499999999994</v>
      </c>
      <c r="AB6">
        <f t="shared" ref="AB6:AB14" si="8">AB16*10^(-6)</f>
        <v>17.641290999999999</v>
      </c>
    </row>
    <row r="7" spans="2:28" x14ac:dyDescent="0.55000000000000004">
      <c r="B7">
        <v>300</v>
      </c>
      <c r="C7">
        <v>10</v>
      </c>
      <c r="D7">
        <v>0.84933499999999995</v>
      </c>
      <c r="E7">
        <v>0.80737099999999995</v>
      </c>
      <c r="F7">
        <f t="shared" si="0"/>
        <v>0.82835299999999989</v>
      </c>
      <c r="G7">
        <v>0.35400999999999999</v>
      </c>
      <c r="H7">
        <v>0.27184000000000003</v>
      </c>
      <c r="I7">
        <f t="shared" si="1"/>
        <v>0.31292500000000001</v>
      </c>
      <c r="J7">
        <f t="shared" si="2"/>
        <v>19.279553</v>
      </c>
      <c r="K7">
        <v>300</v>
      </c>
      <c r="L7">
        <v>10</v>
      </c>
      <c r="M7">
        <v>0.90695599999999998</v>
      </c>
      <c r="N7">
        <v>0.37471700000000002</v>
      </c>
      <c r="O7">
        <f t="shared" si="3"/>
        <v>0.64083650000000003</v>
      </c>
      <c r="P7">
        <v>0.42422500000000002</v>
      </c>
      <c r="Q7">
        <v>0.32962399999999997</v>
      </c>
      <c r="R7">
        <f t="shared" si="4"/>
        <v>0.3769245</v>
      </c>
      <c r="S7">
        <f t="shared" si="5"/>
        <v>21.232682</v>
      </c>
      <c r="T7">
        <v>300</v>
      </c>
      <c r="U7">
        <v>10</v>
      </c>
      <c r="V7">
        <v>0.84017699999999995</v>
      </c>
      <c r="W7">
        <v>0.68567500000000003</v>
      </c>
      <c r="X7">
        <f t="shared" si="6"/>
        <v>0.76292599999999999</v>
      </c>
      <c r="Y7">
        <v>0.875942</v>
      </c>
      <c r="Z7">
        <v>0.36454300000000001</v>
      </c>
      <c r="AA7">
        <f t="shared" si="7"/>
        <v>0.62024250000000003</v>
      </c>
      <c r="AB7">
        <f t="shared" si="8"/>
        <v>26.451685999999999</v>
      </c>
    </row>
    <row r="8" spans="2:28" x14ac:dyDescent="0.55000000000000004">
      <c r="B8">
        <v>400</v>
      </c>
      <c r="C8">
        <v>10</v>
      </c>
      <c r="D8">
        <v>0.85081200000000001</v>
      </c>
      <c r="E8">
        <v>0.80876199999999998</v>
      </c>
      <c r="F8">
        <f t="shared" si="0"/>
        <v>0.82978700000000005</v>
      </c>
      <c r="G8">
        <v>0.37217499999999998</v>
      </c>
      <c r="H8">
        <v>0.26813999999999999</v>
      </c>
      <c r="I8">
        <f t="shared" si="1"/>
        <v>0.32015749999999998</v>
      </c>
      <c r="J8">
        <f t="shared" si="2"/>
        <v>25.689167999999999</v>
      </c>
      <c r="K8">
        <v>400</v>
      </c>
      <c r="L8">
        <v>10</v>
      </c>
      <c r="M8">
        <v>0.90828500000000001</v>
      </c>
      <c r="N8">
        <v>0.37553999999999998</v>
      </c>
      <c r="O8">
        <f t="shared" si="3"/>
        <v>0.6419125</v>
      </c>
      <c r="P8">
        <v>0.42658800000000002</v>
      </c>
      <c r="Q8">
        <v>0.327538</v>
      </c>
      <c r="R8">
        <f t="shared" si="4"/>
        <v>0.37706300000000004</v>
      </c>
      <c r="S8">
        <f t="shared" si="5"/>
        <v>28.22278</v>
      </c>
      <c r="T8">
        <v>400</v>
      </c>
      <c r="U8">
        <v>10</v>
      </c>
      <c r="V8">
        <v>0.84106400000000003</v>
      </c>
      <c r="W8">
        <v>0.68080700000000005</v>
      </c>
      <c r="X8">
        <f t="shared" si="6"/>
        <v>0.76093549999999999</v>
      </c>
      <c r="Y8">
        <v>0.87638499999999997</v>
      </c>
      <c r="Z8">
        <v>0.36680400000000002</v>
      </c>
      <c r="AA8">
        <f t="shared" si="7"/>
        <v>0.62159450000000005</v>
      </c>
      <c r="AB8">
        <f t="shared" si="8"/>
        <v>35.427410000000002</v>
      </c>
    </row>
    <row r="9" spans="2:28" x14ac:dyDescent="0.55000000000000004">
      <c r="B9">
        <v>500</v>
      </c>
      <c r="C9">
        <v>10</v>
      </c>
      <c r="D9">
        <v>0.85022200000000003</v>
      </c>
      <c r="E9">
        <v>0.80945800000000001</v>
      </c>
      <c r="F9">
        <f t="shared" si="0"/>
        <v>0.82984000000000002</v>
      </c>
      <c r="G9">
        <v>0.37439099999999997</v>
      </c>
      <c r="H9">
        <v>0.26957900000000001</v>
      </c>
      <c r="I9">
        <f t="shared" si="1"/>
        <v>0.32198499999999997</v>
      </c>
      <c r="J9">
        <f t="shared" si="2"/>
        <v>32.223129999999998</v>
      </c>
      <c r="K9">
        <v>500</v>
      </c>
      <c r="L9">
        <v>10</v>
      </c>
      <c r="M9">
        <v>0.90695599999999998</v>
      </c>
      <c r="N9">
        <v>0.37523099999999998</v>
      </c>
      <c r="O9">
        <f t="shared" si="3"/>
        <v>0.64109349999999998</v>
      </c>
      <c r="P9">
        <v>0.42865599999999998</v>
      </c>
      <c r="Q9">
        <v>0.32823400000000003</v>
      </c>
      <c r="R9">
        <f t="shared" si="4"/>
        <v>0.37844500000000003</v>
      </c>
      <c r="S9">
        <f t="shared" si="5"/>
        <v>35.224077999999999</v>
      </c>
      <c r="T9">
        <v>500</v>
      </c>
      <c r="U9">
        <v>10</v>
      </c>
      <c r="V9">
        <v>0.83840499999999996</v>
      </c>
      <c r="W9">
        <v>0.68011100000000002</v>
      </c>
      <c r="X9">
        <f t="shared" si="6"/>
        <v>0.75925799999999999</v>
      </c>
      <c r="Y9">
        <v>0.875498</v>
      </c>
      <c r="Z9">
        <v>0.36515900000000001</v>
      </c>
      <c r="AA9">
        <f t="shared" si="7"/>
        <v>0.62032850000000006</v>
      </c>
      <c r="AB9">
        <f t="shared" si="8"/>
        <v>44.280372999999997</v>
      </c>
    </row>
    <row r="10" spans="2:28" x14ac:dyDescent="0.55000000000000004">
      <c r="B10">
        <v>100</v>
      </c>
      <c r="C10">
        <v>10</v>
      </c>
      <c r="D10">
        <v>0.84579000000000004</v>
      </c>
      <c r="E10">
        <v>0.80111299999999996</v>
      </c>
      <c r="F10">
        <f t="shared" si="0"/>
        <v>0.8234515</v>
      </c>
      <c r="G10">
        <v>0.361985</v>
      </c>
      <c r="H10">
        <v>0.26916800000000002</v>
      </c>
      <c r="I10">
        <f t="shared" si="1"/>
        <v>0.31557650000000004</v>
      </c>
      <c r="J10">
        <f t="shared" si="2"/>
        <v>6.4103789999999998</v>
      </c>
      <c r="K10">
        <v>100</v>
      </c>
      <c r="L10">
        <v>10</v>
      </c>
      <c r="M10">
        <v>0.90784200000000004</v>
      </c>
      <c r="N10">
        <v>0.37831399999999998</v>
      </c>
      <c r="O10">
        <f t="shared" si="3"/>
        <v>0.64307800000000004</v>
      </c>
      <c r="P10">
        <v>0.42422500000000002</v>
      </c>
      <c r="Q10">
        <v>0.32962399999999997</v>
      </c>
      <c r="R10">
        <f t="shared" si="4"/>
        <v>0.3769245</v>
      </c>
      <c r="S10">
        <f t="shared" si="5"/>
        <v>7.0836069999999998</v>
      </c>
      <c r="T10">
        <v>100</v>
      </c>
      <c r="U10">
        <v>10</v>
      </c>
      <c r="V10">
        <v>0.84047300000000003</v>
      </c>
      <c r="W10">
        <v>0.67871999999999999</v>
      </c>
      <c r="X10">
        <f t="shared" si="6"/>
        <v>0.75959650000000001</v>
      </c>
      <c r="Y10">
        <v>0.873726</v>
      </c>
      <c r="Z10">
        <v>0.364645</v>
      </c>
      <c r="AA10">
        <f t="shared" si="7"/>
        <v>0.61918549999999994</v>
      </c>
      <c r="AB10">
        <f t="shared" si="8"/>
        <v>8.8380469999999995</v>
      </c>
    </row>
    <row r="11" spans="2:28" x14ac:dyDescent="0.55000000000000004">
      <c r="B11">
        <v>100</v>
      </c>
      <c r="C11">
        <v>20</v>
      </c>
      <c r="D11">
        <v>0.84519900000000003</v>
      </c>
      <c r="E11">
        <v>0.82962400000000003</v>
      </c>
      <c r="F11">
        <f t="shared" si="0"/>
        <v>0.83741149999999998</v>
      </c>
      <c r="G11">
        <v>0.351794</v>
      </c>
      <c r="H11">
        <v>0.28859200000000002</v>
      </c>
      <c r="I11">
        <f t="shared" si="1"/>
        <v>0.32019300000000001</v>
      </c>
      <c r="J11">
        <f t="shared" si="2"/>
        <v>24.464541999999998</v>
      </c>
      <c r="K11">
        <v>100</v>
      </c>
      <c r="L11">
        <v>20</v>
      </c>
      <c r="M11">
        <v>0.91847599999999996</v>
      </c>
      <c r="N11">
        <v>0.37297000000000002</v>
      </c>
      <c r="O11">
        <f t="shared" si="3"/>
        <v>0.64572300000000005</v>
      </c>
      <c r="P11">
        <v>0.359823</v>
      </c>
      <c r="Q11">
        <v>0.34770499999999999</v>
      </c>
      <c r="R11">
        <f t="shared" si="4"/>
        <v>0.35376399999999997</v>
      </c>
      <c r="S11">
        <f t="shared" si="5"/>
        <v>19.568797999999997</v>
      </c>
      <c r="T11">
        <v>100</v>
      </c>
      <c r="U11">
        <v>20</v>
      </c>
      <c r="V11">
        <v>0.87356</v>
      </c>
      <c r="W11">
        <v>0.77329599999999998</v>
      </c>
      <c r="X11">
        <f t="shared" si="6"/>
        <v>0.82342800000000005</v>
      </c>
      <c r="Y11">
        <v>0.90739899999999996</v>
      </c>
      <c r="Z11">
        <v>0.37595099999999998</v>
      </c>
      <c r="AA11">
        <f t="shared" si="7"/>
        <v>0.641675</v>
      </c>
      <c r="AB11">
        <f t="shared" si="8"/>
        <v>53.797565999999996</v>
      </c>
    </row>
    <row r="12" spans="2:28" x14ac:dyDescent="0.55000000000000004">
      <c r="B12">
        <v>100</v>
      </c>
      <c r="C12">
        <v>30</v>
      </c>
      <c r="D12">
        <v>0.84411000000000003</v>
      </c>
      <c r="E12">
        <v>0.82475699999999996</v>
      </c>
      <c r="F12">
        <f t="shared" si="0"/>
        <v>0.83443350000000005</v>
      </c>
      <c r="G12">
        <v>0.30696600000000002</v>
      </c>
      <c r="H12">
        <v>0.27913700000000002</v>
      </c>
      <c r="I12">
        <f t="shared" si="1"/>
        <v>0.29305150000000002</v>
      </c>
      <c r="J12">
        <f t="shared" si="2"/>
        <v>25.694526</v>
      </c>
      <c r="K12">
        <v>100</v>
      </c>
      <c r="L12">
        <v>30</v>
      </c>
      <c r="M12">
        <v>0.91617499999999996</v>
      </c>
      <c r="N12">
        <v>0.375745</v>
      </c>
      <c r="O12">
        <f t="shared" si="3"/>
        <v>0.64595999999999998</v>
      </c>
      <c r="P12">
        <v>0.41452600000000001</v>
      </c>
      <c r="Q12">
        <v>0.35187800000000002</v>
      </c>
      <c r="R12">
        <f t="shared" si="4"/>
        <v>0.38320200000000004</v>
      </c>
      <c r="S12">
        <f t="shared" si="5"/>
        <v>20.252222</v>
      </c>
      <c r="T12">
        <v>100</v>
      </c>
      <c r="U12">
        <v>30</v>
      </c>
      <c r="V12">
        <v>0.86979600000000001</v>
      </c>
      <c r="W12">
        <v>0.78025</v>
      </c>
      <c r="X12">
        <f t="shared" si="6"/>
        <v>0.82502300000000006</v>
      </c>
      <c r="Y12">
        <v>0.90790999999999999</v>
      </c>
      <c r="Z12">
        <v>0.38314500000000001</v>
      </c>
      <c r="AA12">
        <f t="shared" si="7"/>
        <v>0.64552750000000003</v>
      </c>
      <c r="AB12">
        <f t="shared" si="8"/>
        <v>60.366365999999999</v>
      </c>
    </row>
    <row r="13" spans="2:28" x14ac:dyDescent="0.55000000000000004">
      <c r="B13">
        <v>100</v>
      </c>
      <c r="C13">
        <v>40</v>
      </c>
      <c r="D13">
        <v>0.84499599999999997</v>
      </c>
      <c r="E13">
        <v>0.83031999999999995</v>
      </c>
      <c r="F13">
        <f t="shared" si="0"/>
        <v>0.83765800000000001</v>
      </c>
      <c r="G13">
        <v>0.316411</v>
      </c>
      <c r="H13">
        <v>0.27934199999999998</v>
      </c>
      <c r="I13">
        <f t="shared" si="1"/>
        <v>0.29787649999999999</v>
      </c>
      <c r="J13">
        <f t="shared" si="2"/>
        <v>25.634494</v>
      </c>
      <c r="K13">
        <v>100</v>
      </c>
      <c r="L13">
        <v>40</v>
      </c>
      <c r="M13">
        <v>0.91853600000000002</v>
      </c>
      <c r="N13">
        <v>0.37553999999999998</v>
      </c>
      <c r="O13">
        <f t="shared" si="3"/>
        <v>0.647038</v>
      </c>
      <c r="P13">
        <v>0.41098299999999999</v>
      </c>
      <c r="Q13">
        <v>0.34492400000000001</v>
      </c>
      <c r="R13">
        <f t="shared" si="4"/>
        <v>0.3779535</v>
      </c>
      <c r="S13">
        <f t="shared" si="5"/>
        <v>20.267454000000001</v>
      </c>
      <c r="T13">
        <v>100</v>
      </c>
      <c r="U13">
        <v>40</v>
      </c>
      <c r="V13">
        <v>0.86625300000000005</v>
      </c>
      <c r="W13">
        <v>0.78581400000000001</v>
      </c>
      <c r="X13">
        <f t="shared" si="6"/>
        <v>0.82603350000000009</v>
      </c>
      <c r="Y13">
        <v>0.91381299999999999</v>
      </c>
      <c r="Z13">
        <v>0.38170599999999999</v>
      </c>
      <c r="AA13">
        <f t="shared" si="7"/>
        <v>0.64775950000000004</v>
      </c>
      <c r="AB13">
        <f t="shared" si="8"/>
        <v>60.45843</v>
      </c>
    </row>
    <row r="14" spans="2:28" x14ac:dyDescent="0.55000000000000004">
      <c r="B14">
        <v>100</v>
      </c>
      <c r="C14">
        <v>50</v>
      </c>
      <c r="D14">
        <v>0.84499599999999997</v>
      </c>
      <c r="E14">
        <v>0.83031999999999995</v>
      </c>
      <c r="F14">
        <f t="shared" si="0"/>
        <v>0.83765800000000001</v>
      </c>
      <c r="G14">
        <v>0.316411</v>
      </c>
      <c r="H14">
        <v>0.27934199999999998</v>
      </c>
      <c r="I14">
        <f t="shared" si="1"/>
        <v>0.29787649999999999</v>
      </c>
      <c r="J14">
        <f t="shared" si="2"/>
        <v>25.634494</v>
      </c>
      <c r="K14">
        <v>100</v>
      </c>
      <c r="L14">
        <v>50</v>
      </c>
      <c r="M14">
        <v>0.91853600000000002</v>
      </c>
      <c r="N14">
        <v>0.37553999999999998</v>
      </c>
      <c r="O14">
        <f t="shared" si="3"/>
        <v>0.647038</v>
      </c>
      <c r="P14">
        <v>0.41098299999999999</v>
      </c>
      <c r="Q14">
        <v>0.34492400000000001</v>
      </c>
      <c r="R14">
        <f t="shared" si="4"/>
        <v>0.3779535</v>
      </c>
      <c r="S14">
        <f t="shared" si="5"/>
        <v>20.267454000000001</v>
      </c>
      <c r="T14">
        <v>100</v>
      </c>
      <c r="U14">
        <v>50</v>
      </c>
      <c r="V14">
        <v>0.86625300000000005</v>
      </c>
      <c r="W14">
        <v>0.78581400000000001</v>
      </c>
      <c r="X14">
        <f t="shared" si="6"/>
        <v>0.82603350000000009</v>
      </c>
      <c r="Y14">
        <v>0.91263300000000003</v>
      </c>
      <c r="Z14">
        <v>0.380884</v>
      </c>
      <c r="AA14">
        <f t="shared" si="7"/>
        <v>0.64675850000000001</v>
      </c>
      <c r="AB14">
        <f t="shared" si="8"/>
        <v>60.476349999999996</v>
      </c>
    </row>
    <row r="15" spans="2:28" x14ac:dyDescent="0.55000000000000004">
      <c r="J15">
        <v>6410379</v>
      </c>
      <c r="S15">
        <v>7083607</v>
      </c>
      <c r="AB15">
        <v>8838047</v>
      </c>
    </row>
    <row r="16" spans="2:28" x14ac:dyDescent="0.55000000000000004">
      <c r="J16" s="1">
        <v>12703039</v>
      </c>
      <c r="S16" s="1">
        <v>14209906</v>
      </c>
      <c r="AB16" s="1">
        <v>17641291</v>
      </c>
    </row>
    <row r="17" spans="10:28" x14ac:dyDescent="0.55000000000000004">
      <c r="J17" s="1">
        <v>19279553</v>
      </c>
      <c r="S17">
        <v>21232682</v>
      </c>
      <c r="AB17">
        <v>26451686</v>
      </c>
    </row>
    <row r="18" spans="10:28" x14ac:dyDescent="0.55000000000000004">
      <c r="J18" s="1">
        <v>25689168</v>
      </c>
      <c r="S18">
        <v>28222780</v>
      </c>
      <c r="AB18">
        <v>35427410</v>
      </c>
    </row>
    <row r="19" spans="10:28" x14ac:dyDescent="0.55000000000000004">
      <c r="J19" s="1">
        <v>32223130</v>
      </c>
      <c r="S19">
        <v>35224078</v>
      </c>
      <c r="AB19">
        <v>44280373</v>
      </c>
    </row>
    <row r="20" spans="10:28" x14ac:dyDescent="0.55000000000000004">
      <c r="J20">
        <v>6410379</v>
      </c>
      <c r="S20">
        <v>7083607</v>
      </c>
      <c r="AB20">
        <v>8838047</v>
      </c>
    </row>
    <row r="21" spans="10:28" x14ac:dyDescent="0.55000000000000004">
      <c r="J21">
        <v>24464542</v>
      </c>
      <c r="S21">
        <v>19568798</v>
      </c>
      <c r="AB21">
        <v>53797566</v>
      </c>
    </row>
    <row r="22" spans="10:28" x14ac:dyDescent="0.55000000000000004">
      <c r="J22">
        <v>25694526</v>
      </c>
      <c r="S22">
        <v>20252222</v>
      </c>
      <c r="AB22">
        <v>60366366</v>
      </c>
    </row>
    <row r="23" spans="10:28" x14ac:dyDescent="0.55000000000000004">
      <c r="J23">
        <v>25634494</v>
      </c>
      <c r="S23">
        <v>20267454</v>
      </c>
      <c r="AB23">
        <v>60458430</v>
      </c>
    </row>
    <row r="24" spans="10:28" x14ac:dyDescent="0.55000000000000004">
      <c r="J24">
        <v>25634494</v>
      </c>
      <c r="S24">
        <v>20267454</v>
      </c>
      <c r="AB24">
        <v>60476350</v>
      </c>
    </row>
    <row r="51" spans="2:8" x14ac:dyDescent="0.55000000000000004">
      <c r="C51" s="4" t="s">
        <v>0</v>
      </c>
      <c r="D51" s="4"/>
      <c r="E51" s="4"/>
      <c r="F51" s="4" t="s">
        <v>1</v>
      </c>
      <c r="G51" s="4"/>
      <c r="H51" s="4"/>
    </row>
    <row r="52" spans="2:8" x14ac:dyDescent="0.55000000000000004">
      <c r="C52" t="s">
        <v>2</v>
      </c>
      <c r="D52" t="s">
        <v>3</v>
      </c>
      <c r="E52" t="s">
        <v>12</v>
      </c>
      <c r="F52" t="s">
        <v>2</v>
      </c>
      <c r="G52" t="s">
        <v>3</v>
      </c>
      <c r="H52" t="s">
        <v>12</v>
      </c>
    </row>
    <row r="53" spans="2:8" x14ac:dyDescent="0.55000000000000004">
      <c r="B53" t="s">
        <v>9</v>
      </c>
      <c r="C53">
        <v>0.84579000000000004</v>
      </c>
      <c r="D53">
        <v>0.80111299999999996</v>
      </c>
      <c r="E53">
        <f>AVERAGE(C53:D53)</f>
        <v>0.8234515</v>
      </c>
      <c r="F53">
        <v>0.361985</v>
      </c>
      <c r="G53">
        <v>0.26916800000000002</v>
      </c>
      <c r="H53">
        <f>AVERAGE(F53:G53)</f>
        <v>0.31557650000000004</v>
      </c>
    </row>
    <row r="54" spans="2:8" x14ac:dyDescent="0.55000000000000004">
      <c r="B54" t="s">
        <v>10</v>
      </c>
      <c r="C54">
        <v>0.90784200000000004</v>
      </c>
      <c r="D54">
        <v>0.37831399999999998</v>
      </c>
      <c r="E54">
        <f>AVERAGE(C54:D54)</f>
        <v>0.64307800000000004</v>
      </c>
      <c r="F54">
        <v>0.42422500000000002</v>
      </c>
      <c r="G54">
        <v>0.32962399999999997</v>
      </c>
      <c r="H54">
        <f>AVERAGE(F54:G54)</f>
        <v>0.3769245</v>
      </c>
    </row>
  </sheetData>
  <mergeCells count="11">
    <mergeCell ref="C51:E51"/>
    <mergeCell ref="F51:H51"/>
    <mergeCell ref="Y3:AA3"/>
    <mergeCell ref="B2:J2"/>
    <mergeCell ref="K2:S2"/>
    <mergeCell ref="T2:AB2"/>
    <mergeCell ref="D3:F3"/>
    <mergeCell ref="G3:I3"/>
    <mergeCell ref="M3:O3"/>
    <mergeCell ref="P3:R3"/>
    <mergeCell ref="V3:X3"/>
  </mergeCells>
  <phoneticPr fontId="1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178D-AB68-4BCC-AB29-6F8BCC57429E}">
  <dimension ref="B2:S109"/>
  <sheetViews>
    <sheetView zoomScale="74" workbookViewId="0">
      <selection activeCell="Q3" sqref="Q3:Q88"/>
    </sheetView>
  </sheetViews>
  <sheetFormatPr defaultRowHeight="18" x14ac:dyDescent="0.55000000000000004"/>
  <sheetData>
    <row r="2" spans="2:19" x14ac:dyDescent="0.55000000000000004">
      <c r="D2" t="s">
        <v>9</v>
      </c>
      <c r="K2" t="s">
        <v>10</v>
      </c>
      <c r="S2" t="s">
        <v>274</v>
      </c>
    </row>
    <row r="3" spans="2:19" x14ac:dyDescent="0.55000000000000004">
      <c r="B3" t="s">
        <v>18</v>
      </c>
      <c r="I3" t="s">
        <v>18</v>
      </c>
      <c r="Q3" t="s">
        <v>18</v>
      </c>
    </row>
    <row r="4" spans="2:19" x14ac:dyDescent="0.55000000000000004">
      <c r="B4" t="s">
        <v>19</v>
      </c>
      <c r="I4" t="s">
        <v>104</v>
      </c>
      <c r="Q4" t="s">
        <v>189</v>
      </c>
    </row>
    <row r="5" spans="2:19" x14ac:dyDescent="0.55000000000000004">
      <c r="B5" t="s">
        <v>20</v>
      </c>
      <c r="I5" t="s">
        <v>105</v>
      </c>
      <c r="Q5" t="s">
        <v>190</v>
      </c>
    </row>
    <row r="6" spans="2:19" x14ac:dyDescent="0.55000000000000004">
      <c r="B6" t="s">
        <v>21</v>
      </c>
      <c r="I6" t="s">
        <v>106</v>
      </c>
      <c r="Q6" t="s">
        <v>191</v>
      </c>
    </row>
    <row r="7" spans="2:19" x14ac:dyDescent="0.55000000000000004">
      <c r="B7" t="s">
        <v>22</v>
      </c>
      <c r="I7" t="s">
        <v>107</v>
      </c>
      <c r="Q7" t="s">
        <v>192</v>
      </c>
    </row>
    <row r="8" spans="2:19" x14ac:dyDescent="0.55000000000000004">
      <c r="B8" t="s">
        <v>23</v>
      </c>
      <c r="I8" t="s">
        <v>108</v>
      </c>
      <c r="Q8" t="s">
        <v>193</v>
      </c>
    </row>
    <row r="9" spans="2:19" x14ac:dyDescent="0.55000000000000004">
      <c r="B9" t="s">
        <v>24</v>
      </c>
      <c r="I9" t="s">
        <v>109</v>
      </c>
      <c r="Q9" t="s">
        <v>194</v>
      </c>
    </row>
    <row r="10" spans="2:19" x14ac:dyDescent="0.55000000000000004">
      <c r="B10" t="s">
        <v>25</v>
      </c>
      <c r="I10" t="s">
        <v>110</v>
      </c>
      <c r="Q10" t="s">
        <v>195</v>
      </c>
    </row>
    <row r="11" spans="2:19" x14ac:dyDescent="0.55000000000000004">
      <c r="B11" t="s">
        <v>26</v>
      </c>
      <c r="I11" t="s">
        <v>111</v>
      </c>
      <c r="Q11" t="s">
        <v>196</v>
      </c>
    </row>
    <row r="12" spans="2:19" x14ac:dyDescent="0.55000000000000004">
      <c r="B12" t="s">
        <v>27</v>
      </c>
      <c r="I12" t="s">
        <v>112</v>
      </c>
      <c r="Q12" t="s">
        <v>197</v>
      </c>
    </row>
    <row r="13" spans="2:19" x14ac:dyDescent="0.55000000000000004">
      <c r="B13" t="s">
        <v>28</v>
      </c>
      <c r="I13" t="s">
        <v>113</v>
      </c>
      <c r="Q13" t="s">
        <v>198</v>
      </c>
    </row>
    <row r="14" spans="2:19" x14ac:dyDescent="0.55000000000000004">
      <c r="B14" t="s">
        <v>29</v>
      </c>
      <c r="I14" t="s">
        <v>114</v>
      </c>
      <c r="Q14" t="s">
        <v>199</v>
      </c>
    </row>
    <row r="15" spans="2:19" x14ac:dyDescent="0.55000000000000004">
      <c r="B15" t="s">
        <v>30</v>
      </c>
      <c r="I15" t="s">
        <v>115</v>
      </c>
      <c r="Q15" t="s">
        <v>200</v>
      </c>
    </row>
    <row r="16" spans="2:19" x14ac:dyDescent="0.55000000000000004">
      <c r="B16" t="s">
        <v>31</v>
      </c>
      <c r="I16" t="s">
        <v>116</v>
      </c>
      <c r="Q16" t="s">
        <v>201</v>
      </c>
    </row>
    <row r="17" spans="2:17" x14ac:dyDescent="0.55000000000000004">
      <c r="B17" t="s">
        <v>32</v>
      </c>
      <c r="I17" t="s">
        <v>117</v>
      </c>
      <c r="Q17" t="s">
        <v>202</v>
      </c>
    </row>
    <row r="18" spans="2:17" x14ac:dyDescent="0.55000000000000004">
      <c r="B18" t="s">
        <v>33</v>
      </c>
      <c r="I18" t="s">
        <v>118</v>
      </c>
      <c r="Q18" t="s">
        <v>203</v>
      </c>
    </row>
    <row r="19" spans="2:17" x14ac:dyDescent="0.55000000000000004">
      <c r="B19" t="s">
        <v>34</v>
      </c>
      <c r="I19" t="s">
        <v>119</v>
      </c>
      <c r="Q19" t="s">
        <v>204</v>
      </c>
    </row>
    <row r="20" spans="2:17" x14ac:dyDescent="0.55000000000000004">
      <c r="B20" t="s">
        <v>35</v>
      </c>
      <c r="I20" t="s">
        <v>120</v>
      </c>
      <c r="Q20" t="s">
        <v>205</v>
      </c>
    </row>
    <row r="21" spans="2:17" x14ac:dyDescent="0.55000000000000004">
      <c r="B21" t="s">
        <v>36</v>
      </c>
      <c r="I21" t="s">
        <v>121</v>
      </c>
      <c r="Q21" t="s">
        <v>206</v>
      </c>
    </row>
    <row r="22" spans="2:17" x14ac:dyDescent="0.55000000000000004">
      <c r="B22" t="s">
        <v>37</v>
      </c>
      <c r="I22" t="s">
        <v>122</v>
      </c>
      <c r="Q22" t="s">
        <v>207</v>
      </c>
    </row>
    <row r="23" spans="2:17" x14ac:dyDescent="0.55000000000000004">
      <c r="B23" t="s">
        <v>38</v>
      </c>
      <c r="I23" t="s">
        <v>123</v>
      </c>
      <c r="Q23" t="s">
        <v>208</v>
      </c>
    </row>
    <row r="24" spans="2:17" x14ac:dyDescent="0.55000000000000004">
      <c r="B24" t="s">
        <v>39</v>
      </c>
      <c r="I24" t="s">
        <v>124</v>
      </c>
      <c r="Q24" t="s">
        <v>209</v>
      </c>
    </row>
    <row r="25" spans="2:17" x14ac:dyDescent="0.55000000000000004">
      <c r="B25" t="s">
        <v>40</v>
      </c>
      <c r="I25" t="s">
        <v>125</v>
      </c>
      <c r="Q25" t="s">
        <v>210</v>
      </c>
    </row>
    <row r="26" spans="2:17" x14ac:dyDescent="0.55000000000000004">
      <c r="B26" t="s">
        <v>41</v>
      </c>
      <c r="I26" t="s">
        <v>126</v>
      </c>
      <c r="Q26" t="s">
        <v>211</v>
      </c>
    </row>
    <row r="27" spans="2:17" x14ac:dyDescent="0.55000000000000004">
      <c r="B27" t="s">
        <v>42</v>
      </c>
      <c r="I27" t="s">
        <v>127</v>
      </c>
      <c r="Q27" t="s">
        <v>212</v>
      </c>
    </row>
    <row r="28" spans="2:17" x14ac:dyDescent="0.55000000000000004">
      <c r="B28" t="s">
        <v>43</v>
      </c>
      <c r="I28" t="s">
        <v>128</v>
      </c>
      <c r="Q28" t="s">
        <v>213</v>
      </c>
    </row>
    <row r="29" spans="2:17" x14ac:dyDescent="0.55000000000000004">
      <c r="B29" t="s">
        <v>44</v>
      </c>
      <c r="I29" t="s">
        <v>129</v>
      </c>
      <c r="Q29" t="s">
        <v>214</v>
      </c>
    </row>
    <row r="30" spans="2:17" x14ac:dyDescent="0.55000000000000004">
      <c r="B30" t="s">
        <v>45</v>
      </c>
      <c r="I30" t="s">
        <v>130</v>
      </c>
      <c r="Q30" t="s">
        <v>215</v>
      </c>
    </row>
    <row r="31" spans="2:17" x14ac:dyDescent="0.55000000000000004">
      <c r="B31" t="s">
        <v>46</v>
      </c>
      <c r="I31" t="s">
        <v>131</v>
      </c>
      <c r="Q31" t="s">
        <v>216</v>
      </c>
    </row>
    <row r="32" spans="2:17" x14ac:dyDescent="0.55000000000000004">
      <c r="B32" t="s">
        <v>47</v>
      </c>
      <c r="I32" t="s">
        <v>132</v>
      </c>
      <c r="Q32" t="s">
        <v>217</v>
      </c>
    </row>
    <row r="33" spans="2:17" x14ac:dyDescent="0.55000000000000004">
      <c r="B33" t="s">
        <v>48</v>
      </c>
      <c r="I33" t="s">
        <v>133</v>
      </c>
      <c r="Q33" t="s">
        <v>218</v>
      </c>
    </row>
    <row r="34" spans="2:17" x14ac:dyDescent="0.55000000000000004">
      <c r="B34" t="s">
        <v>49</v>
      </c>
      <c r="I34" t="s">
        <v>134</v>
      </c>
      <c r="Q34" t="s">
        <v>219</v>
      </c>
    </row>
    <row r="35" spans="2:17" x14ac:dyDescent="0.55000000000000004">
      <c r="B35" t="s">
        <v>50</v>
      </c>
      <c r="I35" t="s">
        <v>135</v>
      </c>
      <c r="Q35" t="s">
        <v>220</v>
      </c>
    </row>
    <row r="36" spans="2:17" x14ac:dyDescent="0.55000000000000004">
      <c r="B36" t="s">
        <v>51</v>
      </c>
      <c r="I36" t="s">
        <v>136</v>
      </c>
      <c r="Q36" t="s">
        <v>221</v>
      </c>
    </row>
    <row r="37" spans="2:17" x14ac:dyDescent="0.55000000000000004">
      <c r="B37" t="s">
        <v>52</v>
      </c>
      <c r="I37" t="s">
        <v>137</v>
      </c>
      <c r="Q37" t="s">
        <v>222</v>
      </c>
    </row>
    <row r="38" spans="2:17" x14ac:dyDescent="0.55000000000000004">
      <c r="B38" t="s">
        <v>53</v>
      </c>
      <c r="I38" t="s">
        <v>138</v>
      </c>
      <c r="Q38" t="s">
        <v>223</v>
      </c>
    </row>
    <row r="39" spans="2:17" x14ac:dyDescent="0.55000000000000004">
      <c r="B39" t="s">
        <v>54</v>
      </c>
      <c r="I39" t="s">
        <v>139</v>
      </c>
      <c r="Q39" t="s">
        <v>224</v>
      </c>
    </row>
    <row r="40" spans="2:17" x14ac:dyDescent="0.55000000000000004">
      <c r="B40" t="s">
        <v>55</v>
      </c>
      <c r="I40" t="s">
        <v>140</v>
      </c>
      <c r="Q40" t="s">
        <v>225</v>
      </c>
    </row>
    <row r="41" spans="2:17" x14ac:dyDescent="0.55000000000000004">
      <c r="B41" t="s">
        <v>56</v>
      </c>
      <c r="I41" t="s">
        <v>141</v>
      </c>
      <c r="Q41" t="s">
        <v>226</v>
      </c>
    </row>
    <row r="42" spans="2:17" x14ac:dyDescent="0.55000000000000004">
      <c r="B42" t="s">
        <v>57</v>
      </c>
      <c r="I42" t="s">
        <v>142</v>
      </c>
      <c r="Q42" t="s">
        <v>227</v>
      </c>
    </row>
    <row r="43" spans="2:17" x14ac:dyDescent="0.55000000000000004">
      <c r="B43" t="s">
        <v>58</v>
      </c>
      <c r="I43" t="s">
        <v>143</v>
      </c>
      <c r="Q43" t="s">
        <v>228</v>
      </c>
    </row>
    <row r="44" spans="2:17" x14ac:dyDescent="0.55000000000000004">
      <c r="B44" t="s">
        <v>59</v>
      </c>
      <c r="I44" t="s">
        <v>144</v>
      </c>
      <c r="Q44" t="s">
        <v>229</v>
      </c>
    </row>
    <row r="45" spans="2:17" x14ac:dyDescent="0.55000000000000004">
      <c r="B45" t="s">
        <v>60</v>
      </c>
      <c r="I45" t="s">
        <v>145</v>
      </c>
      <c r="Q45" t="s">
        <v>230</v>
      </c>
    </row>
    <row r="46" spans="2:17" x14ac:dyDescent="0.55000000000000004">
      <c r="B46" t="s">
        <v>61</v>
      </c>
      <c r="I46" t="s">
        <v>146</v>
      </c>
      <c r="Q46" t="s">
        <v>231</v>
      </c>
    </row>
    <row r="47" spans="2:17" x14ac:dyDescent="0.55000000000000004">
      <c r="B47" t="s">
        <v>62</v>
      </c>
      <c r="I47" t="s">
        <v>147</v>
      </c>
      <c r="Q47" t="s">
        <v>232</v>
      </c>
    </row>
    <row r="48" spans="2:17" x14ac:dyDescent="0.55000000000000004">
      <c r="B48" t="s">
        <v>63</v>
      </c>
      <c r="I48" t="s">
        <v>148</v>
      </c>
      <c r="Q48" t="s">
        <v>233</v>
      </c>
    </row>
    <row r="49" spans="2:17" x14ac:dyDescent="0.55000000000000004">
      <c r="B49" t="s">
        <v>64</v>
      </c>
      <c r="I49" t="s">
        <v>149</v>
      </c>
      <c r="Q49" t="s">
        <v>234</v>
      </c>
    </row>
    <row r="50" spans="2:17" x14ac:dyDescent="0.55000000000000004">
      <c r="B50" t="s">
        <v>65</v>
      </c>
      <c r="I50" t="s">
        <v>150</v>
      </c>
      <c r="Q50" t="s">
        <v>235</v>
      </c>
    </row>
    <row r="51" spans="2:17" x14ac:dyDescent="0.55000000000000004">
      <c r="B51" t="s">
        <v>66</v>
      </c>
      <c r="I51" t="s">
        <v>151</v>
      </c>
      <c r="Q51" t="s">
        <v>236</v>
      </c>
    </row>
    <row r="52" spans="2:17" x14ac:dyDescent="0.55000000000000004">
      <c r="B52" t="s">
        <v>67</v>
      </c>
      <c r="I52" t="s">
        <v>152</v>
      </c>
      <c r="Q52" t="s">
        <v>237</v>
      </c>
    </row>
    <row r="53" spans="2:17" x14ac:dyDescent="0.55000000000000004">
      <c r="B53" t="s">
        <v>68</v>
      </c>
      <c r="I53" t="s">
        <v>153</v>
      </c>
      <c r="Q53" t="s">
        <v>238</v>
      </c>
    </row>
    <row r="54" spans="2:17" x14ac:dyDescent="0.55000000000000004">
      <c r="B54" t="s">
        <v>69</v>
      </c>
      <c r="I54" t="s">
        <v>154</v>
      </c>
      <c r="Q54" t="s">
        <v>239</v>
      </c>
    </row>
    <row r="55" spans="2:17" x14ac:dyDescent="0.55000000000000004">
      <c r="B55" t="s">
        <v>70</v>
      </c>
      <c r="I55" t="s">
        <v>155</v>
      </c>
      <c r="Q55" t="s">
        <v>240</v>
      </c>
    </row>
    <row r="56" spans="2:17" x14ac:dyDescent="0.55000000000000004">
      <c r="B56" t="s">
        <v>71</v>
      </c>
      <c r="I56" t="s">
        <v>156</v>
      </c>
      <c r="Q56" t="s">
        <v>241</v>
      </c>
    </row>
    <row r="57" spans="2:17" x14ac:dyDescent="0.55000000000000004">
      <c r="B57" t="s">
        <v>72</v>
      </c>
      <c r="I57" t="s">
        <v>157</v>
      </c>
      <c r="Q57" t="s">
        <v>242</v>
      </c>
    </row>
    <row r="58" spans="2:17" x14ac:dyDescent="0.55000000000000004">
      <c r="B58" t="s">
        <v>73</v>
      </c>
      <c r="I58" t="s">
        <v>158</v>
      </c>
      <c r="Q58" t="s">
        <v>243</v>
      </c>
    </row>
    <row r="59" spans="2:17" x14ac:dyDescent="0.55000000000000004">
      <c r="B59" t="s">
        <v>74</v>
      </c>
      <c r="I59" t="s">
        <v>159</v>
      </c>
      <c r="Q59" t="s">
        <v>244</v>
      </c>
    </row>
    <row r="60" spans="2:17" x14ac:dyDescent="0.55000000000000004">
      <c r="B60" t="s">
        <v>75</v>
      </c>
      <c r="I60" t="s">
        <v>160</v>
      </c>
      <c r="Q60" t="s">
        <v>245</v>
      </c>
    </row>
    <row r="61" spans="2:17" x14ac:dyDescent="0.55000000000000004">
      <c r="B61" t="s">
        <v>76</v>
      </c>
      <c r="I61" t="s">
        <v>161</v>
      </c>
      <c r="Q61" t="s">
        <v>246</v>
      </c>
    </row>
    <row r="62" spans="2:17" x14ac:dyDescent="0.55000000000000004">
      <c r="B62" t="s">
        <v>77</v>
      </c>
      <c r="I62" t="s">
        <v>162</v>
      </c>
      <c r="Q62" t="s">
        <v>247</v>
      </c>
    </row>
    <row r="63" spans="2:17" x14ac:dyDescent="0.55000000000000004">
      <c r="B63" t="s">
        <v>78</v>
      </c>
      <c r="I63" t="s">
        <v>163</v>
      </c>
      <c r="Q63" t="s">
        <v>248</v>
      </c>
    </row>
    <row r="64" spans="2:17" x14ac:dyDescent="0.55000000000000004">
      <c r="B64" t="s">
        <v>79</v>
      </c>
      <c r="I64" t="s">
        <v>164</v>
      </c>
      <c r="Q64" t="s">
        <v>249</v>
      </c>
    </row>
    <row r="65" spans="2:17" x14ac:dyDescent="0.55000000000000004">
      <c r="B65" t="s">
        <v>80</v>
      </c>
      <c r="I65" t="s">
        <v>165</v>
      </c>
      <c r="Q65" t="s">
        <v>250</v>
      </c>
    </row>
    <row r="66" spans="2:17" x14ac:dyDescent="0.55000000000000004">
      <c r="B66" t="s">
        <v>81</v>
      </c>
      <c r="I66" t="s">
        <v>166</v>
      </c>
      <c r="Q66" t="s">
        <v>251</v>
      </c>
    </row>
    <row r="67" spans="2:17" x14ac:dyDescent="0.55000000000000004">
      <c r="B67" t="s">
        <v>82</v>
      </c>
      <c r="I67" t="s">
        <v>167</v>
      </c>
      <c r="Q67" t="s">
        <v>252</v>
      </c>
    </row>
    <row r="68" spans="2:17" x14ac:dyDescent="0.55000000000000004">
      <c r="B68" t="s">
        <v>83</v>
      </c>
      <c r="I68" t="s">
        <v>168</v>
      </c>
      <c r="Q68" t="s">
        <v>253</v>
      </c>
    </row>
    <row r="69" spans="2:17" x14ac:dyDescent="0.55000000000000004">
      <c r="B69" t="s">
        <v>84</v>
      </c>
      <c r="I69" t="s">
        <v>169</v>
      </c>
      <c r="Q69" t="s">
        <v>254</v>
      </c>
    </row>
    <row r="70" spans="2:17" x14ac:dyDescent="0.55000000000000004">
      <c r="B70" t="s">
        <v>85</v>
      </c>
      <c r="I70" t="s">
        <v>170</v>
      </c>
      <c r="Q70" t="s">
        <v>255</v>
      </c>
    </row>
    <row r="71" spans="2:17" x14ac:dyDescent="0.55000000000000004">
      <c r="B71" t="s">
        <v>86</v>
      </c>
      <c r="I71" t="s">
        <v>171</v>
      </c>
      <c r="Q71" t="s">
        <v>256</v>
      </c>
    </row>
    <row r="72" spans="2:17" x14ac:dyDescent="0.55000000000000004">
      <c r="B72" t="s">
        <v>87</v>
      </c>
      <c r="I72" t="s">
        <v>172</v>
      </c>
      <c r="Q72" t="s">
        <v>257</v>
      </c>
    </row>
    <row r="73" spans="2:17" x14ac:dyDescent="0.55000000000000004">
      <c r="B73" t="s">
        <v>88</v>
      </c>
      <c r="I73" t="s">
        <v>173</v>
      </c>
      <c r="Q73" t="s">
        <v>258</v>
      </c>
    </row>
    <row r="74" spans="2:17" x14ac:dyDescent="0.55000000000000004">
      <c r="B74" t="s">
        <v>89</v>
      </c>
      <c r="I74" t="s">
        <v>174</v>
      </c>
      <c r="Q74" t="s">
        <v>259</v>
      </c>
    </row>
    <row r="75" spans="2:17" x14ac:dyDescent="0.55000000000000004">
      <c r="B75" t="s">
        <v>90</v>
      </c>
      <c r="I75" t="s">
        <v>175</v>
      </c>
      <c r="Q75" t="s">
        <v>260</v>
      </c>
    </row>
    <row r="76" spans="2:17" x14ac:dyDescent="0.55000000000000004">
      <c r="B76" t="s">
        <v>91</v>
      </c>
      <c r="I76" t="s">
        <v>176</v>
      </c>
      <c r="Q76" t="s">
        <v>261</v>
      </c>
    </row>
    <row r="77" spans="2:17" x14ac:dyDescent="0.55000000000000004">
      <c r="B77" t="s">
        <v>92</v>
      </c>
      <c r="I77" t="s">
        <v>177</v>
      </c>
      <c r="Q77" t="s">
        <v>262</v>
      </c>
    </row>
    <row r="78" spans="2:17" x14ac:dyDescent="0.55000000000000004">
      <c r="B78" t="s">
        <v>93</v>
      </c>
      <c r="I78" t="s">
        <v>178</v>
      </c>
      <c r="Q78" t="s">
        <v>263</v>
      </c>
    </row>
    <row r="79" spans="2:17" x14ac:dyDescent="0.55000000000000004">
      <c r="B79" t="s">
        <v>94</v>
      </c>
      <c r="I79" t="s">
        <v>179</v>
      </c>
      <c r="Q79" t="s">
        <v>264</v>
      </c>
    </row>
    <row r="80" spans="2:17" x14ac:dyDescent="0.55000000000000004">
      <c r="B80" t="s">
        <v>95</v>
      </c>
      <c r="I80" t="s">
        <v>180</v>
      </c>
      <c r="Q80" t="s">
        <v>265</v>
      </c>
    </row>
    <row r="81" spans="2:17" x14ac:dyDescent="0.55000000000000004">
      <c r="B81" t="s">
        <v>96</v>
      </c>
      <c r="I81" t="s">
        <v>181</v>
      </c>
      <c r="Q81" t="s">
        <v>266</v>
      </c>
    </row>
    <row r="82" spans="2:17" x14ac:dyDescent="0.55000000000000004">
      <c r="B82" t="s">
        <v>97</v>
      </c>
      <c r="I82" t="s">
        <v>182</v>
      </c>
      <c r="Q82" t="s">
        <v>267</v>
      </c>
    </row>
    <row r="83" spans="2:17" x14ac:dyDescent="0.55000000000000004">
      <c r="B83" t="s">
        <v>98</v>
      </c>
      <c r="I83" t="s">
        <v>183</v>
      </c>
      <c r="Q83" t="s">
        <v>268</v>
      </c>
    </row>
    <row r="84" spans="2:17" x14ac:dyDescent="0.55000000000000004">
      <c r="B84" t="s">
        <v>99</v>
      </c>
      <c r="I84" t="s">
        <v>184</v>
      </c>
      <c r="Q84" t="s">
        <v>269</v>
      </c>
    </row>
    <row r="85" spans="2:17" x14ac:dyDescent="0.55000000000000004">
      <c r="B85" t="s">
        <v>100</v>
      </c>
      <c r="I85" t="s">
        <v>185</v>
      </c>
      <c r="Q85" t="s">
        <v>270</v>
      </c>
    </row>
    <row r="86" spans="2:17" x14ac:dyDescent="0.55000000000000004">
      <c r="B86" t="s">
        <v>101</v>
      </c>
      <c r="I86" t="s">
        <v>186</v>
      </c>
      <c r="Q86" t="s">
        <v>271</v>
      </c>
    </row>
    <row r="87" spans="2:17" x14ac:dyDescent="0.55000000000000004">
      <c r="B87" t="s">
        <v>102</v>
      </c>
      <c r="I87" t="s">
        <v>187</v>
      </c>
      <c r="Q87" t="s">
        <v>272</v>
      </c>
    </row>
    <row r="88" spans="2:17" x14ac:dyDescent="0.55000000000000004">
      <c r="B88" t="s">
        <v>103</v>
      </c>
      <c r="I88" t="s">
        <v>188</v>
      </c>
      <c r="Q88" t="s">
        <v>273</v>
      </c>
    </row>
    <row r="90" spans="2:17" x14ac:dyDescent="0.55000000000000004">
      <c r="G90" t="s">
        <v>275</v>
      </c>
    </row>
    <row r="91" spans="2:17" x14ac:dyDescent="0.55000000000000004">
      <c r="G91" t="s">
        <v>20</v>
      </c>
    </row>
    <row r="92" spans="2:17" x14ac:dyDescent="0.55000000000000004">
      <c r="G92" t="s">
        <v>21</v>
      </c>
    </row>
    <row r="93" spans="2:17" x14ac:dyDescent="0.55000000000000004">
      <c r="G93" t="s">
        <v>22</v>
      </c>
    </row>
    <row r="94" spans="2:17" x14ac:dyDescent="0.55000000000000004">
      <c r="G94" t="s">
        <v>23</v>
      </c>
    </row>
    <row r="95" spans="2:17" x14ac:dyDescent="0.55000000000000004">
      <c r="G95" t="s">
        <v>24</v>
      </c>
    </row>
    <row r="96" spans="2:17" x14ac:dyDescent="0.55000000000000004">
      <c r="G96" t="s">
        <v>25</v>
      </c>
    </row>
    <row r="97" spans="7:7" x14ac:dyDescent="0.55000000000000004">
      <c r="G97" t="s">
        <v>26</v>
      </c>
    </row>
    <row r="98" spans="7:7" x14ac:dyDescent="0.55000000000000004">
      <c r="G98" t="s">
        <v>27</v>
      </c>
    </row>
    <row r="99" spans="7:7" x14ac:dyDescent="0.55000000000000004">
      <c r="G99" t="s">
        <v>28</v>
      </c>
    </row>
    <row r="100" spans="7:7" x14ac:dyDescent="0.55000000000000004">
      <c r="G100" t="s">
        <v>29</v>
      </c>
    </row>
    <row r="101" spans="7:7" x14ac:dyDescent="0.55000000000000004">
      <c r="G101" t="s">
        <v>30</v>
      </c>
    </row>
    <row r="102" spans="7:7" x14ac:dyDescent="0.55000000000000004">
      <c r="G102" t="s">
        <v>31</v>
      </c>
    </row>
    <row r="103" spans="7:7" x14ac:dyDescent="0.55000000000000004">
      <c r="G103" t="s">
        <v>32</v>
      </c>
    </row>
    <row r="104" spans="7:7" x14ac:dyDescent="0.55000000000000004">
      <c r="G104" t="s">
        <v>33</v>
      </c>
    </row>
    <row r="105" spans="7:7" x14ac:dyDescent="0.55000000000000004">
      <c r="G105" t="s">
        <v>34</v>
      </c>
    </row>
    <row r="106" spans="7:7" x14ac:dyDescent="0.55000000000000004">
      <c r="G106" t="s">
        <v>35</v>
      </c>
    </row>
    <row r="107" spans="7:7" x14ac:dyDescent="0.55000000000000004">
      <c r="G107" t="s">
        <v>36</v>
      </c>
    </row>
    <row r="108" spans="7:7" x14ac:dyDescent="0.55000000000000004">
      <c r="G108" t="s">
        <v>37</v>
      </c>
    </row>
    <row r="109" spans="7:7" x14ac:dyDescent="0.55000000000000004">
      <c r="G109" t="s">
        <v>38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D8A1-0746-49F2-A3E6-2BB7E67919C5}">
  <dimension ref="F2:G4"/>
  <sheetViews>
    <sheetView workbookViewId="0">
      <selection activeCell="A6" sqref="A6"/>
    </sheetView>
  </sheetViews>
  <sheetFormatPr defaultRowHeight="18" x14ac:dyDescent="0.55000000000000004"/>
  <cols>
    <col min="6" max="6" width="21.83203125" customWidth="1"/>
  </cols>
  <sheetData>
    <row r="2" spans="6:7" x14ac:dyDescent="0.55000000000000004">
      <c r="F2" t="s">
        <v>277</v>
      </c>
      <c r="G2">
        <f>12.54 + 10.28</f>
        <v>22.82</v>
      </c>
    </row>
    <row r="3" spans="6:7" x14ac:dyDescent="0.55000000000000004">
      <c r="F3" t="s">
        <v>278</v>
      </c>
      <c r="G3">
        <v>29.69</v>
      </c>
    </row>
    <row r="4" spans="6:7" x14ac:dyDescent="0.55000000000000004">
      <c r="F4" t="s">
        <v>276</v>
      </c>
      <c r="G4">
        <f>100-(G2+G3)</f>
        <v>47.489999999999995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FE12F-C730-4FC3-9F63-6FFE8213461F}">
  <dimension ref="C1:W13"/>
  <sheetViews>
    <sheetView tabSelected="1" topLeftCell="B1" zoomScale="71" zoomScaleNormal="55" workbookViewId="0">
      <selection activeCell="Q5" sqref="Q5"/>
    </sheetView>
  </sheetViews>
  <sheetFormatPr defaultRowHeight="18" x14ac:dyDescent="0.55000000000000004"/>
  <cols>
    <col min="20" max="20" width="12.9140625" customWidth="1"/>
  </cols>
  <sheetData>
    <row r="1" spans="3:23" x14ac:dyDescent="0.55000000000000004">
      <c r="H1" t="s">
        <v>331</v>
      </c>
      <c r="O1" t="s">
        <v>331</v>
      </c>
    </row>
    <row r="2" spans="3:23" x14ac:dyDescent="0.55000000000000004">
      <c r="D2" t="s">
        <v>313</v>
      </c>
      <c r="E2" t="s">
        <v>9</v>
      </c>
      <c r="F2" t="s">
        <v>10</v>
      </c>
      <c r="G2" t="s">
        <v>311</v>
      </c>
      <c r="H2" t="s">
        <v>332</v>
      </c>
      <c r="K2" t="s">
        <v>314</v>
      </c>
      <c r="L2" t="s">
        <v>9</v>
      </c>
      <c r="M2" t="s">
        <v>10</v>
      </c>
      <c r="N2" t="s">
        <v>311</v>
      </c>
      <c r="O2" t="s">
        <v>332</v>
      </c>
      <c r="U2" t="s">
        <v>315</v>
      </c>
      <c r="V2" t="s">
        <v>317</v>
      </c>
      <c r="W2" t="s">
        <v>316</v>
      </c>
    </row>
    <row r="3" spans="3:23" x14ac:dyDescent="0.55000000000000004">
      <c r="C3" t="s">
        <v>312</v>
      </c>
      <c r="D3" t="s">
        <v>315</v>
      </c>
      <c r="E3">
        <v>0.76200000000000001</v>
      </c>
      <c r="F3">
        <v>0.72599999999999998</v>
      </c>
      <c r="G3">
        <v>0.78300000000000003</v>
      </c>
      <c r="H3">
        <v>0.748</v>
      </c>
      <c r="K3" t="s">
        <v>315</v>
      </c>
      <c r="L3">
        <v>0.746</v>
      </c>
      <c r="M3">
        <v>0.7</v>
      </c>
      <c r="N3">
        <v>0.78700000000000003</v>
      </c>
      <c r="O3">
        <v>0.73099999999999998</v>
      </c>
      <c r="T3" t="s">
        <v>318</v>
      </c>
      <c r="U3">
        <v>0.78300000000000003</v>
      </c>
      <c r="V3">
        <v>0.73799999999999999</v>
      </c>
      <c r="W3">
        <v>0.76100000000000001</v>
      </c>
    </row>
    <row r="4" spans="3:23" x14ac:dyDescent="0.55000000000000004">
      <c r="D4" t="s">
        <v>316</v>
      </c>
      <c r="E4">
        <v>0.67900000000000005</v>
      </c>
      <c r="F4">
        <v>0.64100000000000001</v>
      </c>
      <c r="G4">
        <v>0.73799999999999999</v>
      </c>
      <c r="H4">
        <v>0.72099999999999997</v>
      </c>
      <c r="K4" t="s">
        <v>316</v>
      </c>
      <c r="L4">
        <v>0.67700000000000005</v>
      </c>
      <c r="M4">
        <v>0.64900000000000002</v>
      </c>
      <c r="N4">
        <v>0.74399999999999999</v>
      </c>
      <c r="O4">
        <v>0.69799999999999995</v>
      </c>
      <c r="T4" t="s">
        <v>319</v>
      </c>
      <c r="U4">
        <v>0.85</v>
      </c>
      <c r="V4">
        <v>0.8</v>
      </c>
      <c r="W4">
        <v>0.82199999999999995</v>
      </c>
    </row>
    <row r="5" spans="3:23" x14ac:dyDescent="0.55000000000000004">
      <c r="D5" t="s">
        <v>317</v>
      </c>
      <c r="E5">
        <v>0.73299999999999998</v>
      </c>
      <c r="F5">
        <v>0.70399999999999996</v>
      </c>
      <c r="G5">
        <v>0.76100000000000001</v>
      </c>
      <c r="H5">
        <v>0.77700000000000002</v>
      </c>
      <c r="K5" t="s">
        <v>317</v>
      </c>
      <c r="L5">
        <v>0.72</v>
      </c>
      <c r="M5">
        <v>0.69399999999999995</v>
      </c>
      <c r="N5">
        <v>0.75800000000000001</v>
      </c>
      <c r="O5">
        <v>0.73599999999999999</v>
      </c>
      <c r="T5" t="s">
        <v>318</v>
      </c>
      <c r="U5">
        <v>0.78700000000000003</v>
      </c>
      <c r="V5">
        <v>0.74399999999999999</v>
      </c>
      <c r="W5">
        <v>0.75800000000000001</v>
      </c>
    </row>
    <row r="6" spans="3:23" x14ac:dyDescent="0.55000000000000004">
      <c r="C6" t="s">
        <v>1</v>
      </c>
      <c r="D6" t="s">
        <v>315</v>
      </c>
      <c r="E6">
        <v>0.33300000000000002</v>
      </c>
      <c r="F6">
        <v>0.35199999999999998</v>
      </c>
      <c r="G6">
        <v>0.42199999999999999</v>
      </c>
      <c r="J6" t="s">
        <v>1</v>
      </c>
      <c r="K6" t="s">
        <v>315</v>
      </c>
      <c r="L6">
        <v>0.32200000000000001</v>
      </c>
      <c r="M6">
        <v>0.28799999999999998</v>
      </c>
      <c r="N6">
        <v>0.374</v>
      </c>
      <c r="T6" t="s">
        <v>319</v>
      </c>
      <c r="U6">
        <v>0.85299999999999998</v>
      </c>
      <c r="V6">
        <v>0.81100000000000005</v>
      </c>
      <c r="W6">
        <v>0.82099999999999995</v>
      </c>
    </row>
    <row r="7" spans="3:23" x14ac:dyDescent="0.55000000000000004">
      <c r="D7" t="s">
        <v>316</v>
      </c>
      <c r="E7">
        <v>0.32100000000000001</v>
      </c>
      <c r="F7">
        <v>0.35199999999999998</v>
      </c>
      <c r="G7">
        <v>0.20599999999999999</v>
      </c>
      <c r="K7" t="s">
        <v>316</v>
      </c>
      <c r="L7">
        <v>0.22600000000000001</v>
      </c>
      <c r="M7">
        <v>0.29299999999999998</v>
      </c>
      <c r="N7">
        <v>0.13</v>
      </c>
    </row>
    <row r="8" spans="3:23" x14ac:dyDescent="0.55000000000000004">
      <c r="D8" t="s">
        <v>317</v>
      </c>
      <c r="E8">
        <v>0.33300000000000002</v>
      </c>
      <c r="F8">
        <v>0.40799999999999997</v>
      </c>
      <c r="G8">
        <v>0.17799999999999999</v>
      </c>
      <c r="K8" t="s">
        <v>317</v>
      </c>
      <c r="L8">
        <v>0.32500000000000001</v>
      </c>
      <c r="M8">
        <v>0.38500000000000001</v>
      </c>
      <c r="N8">
        <v>0.109</v>
      </c>
    </row>
    <row r="11" spans="3:23" x14ac:dyDescent="0.55000000000000004">
      <c r="C11" t="s">
        <v>1</v>
      </c>
      <c r="D11" t="s">
        <v>315</v>
      </c>
      <c r="E11">
        <v>0.35799999999999998</v>
      </c>
      <c r="F11">
        <v>0.35</v>
      </c>
      <c r="G11">
        <v>0.57599999999999996</v>
      </c>
      <c r="H11">
        <v>0.57599999999999996</v>
      </c>
    </row>
    <row r="12" spans="3:23" x14ac:dyDescent="0.55000000000000004">
      <c r="D12" t="s">
        <v>316</v>
      </c>
      <c r="E12">
        <v>0.33500000000000002</v>
      </c>
      <c r="F12">
        <v>0.376</v>
      </c>
      <c r="G12">
        <v>0.437</v>
      </c>
      <c r="H12">
        <v>0.43099999999999999</v>
      </c>
    </row>
    <row r="13" spans="3:23" x14ac:dyDescent="0.55000000000000004">
      <c r="D13" t="s">
        <v>317</v>
      </c>
      <c r="E13">
        <v>0.38300000000000001</v>
      </c>
      <c r="F13">
        <v>0.38700000000000001</v>
      </c>
      <c r="G13">
        <v>0.42799999999999999</v>
      </c>
      <c r="H13">
        <v>0.48899999999999999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A8DE-0A3C-4204-9B94-61C672A9B6BA}">
  <dimension ref="A1:AA18"/>
  <sheetViews>
    <sheetView topLeftCell="A5" zoomScale="71" workbookViewId="0">
      <selection activeCell="D2" sqref="D2:I4"/>
    </sheetView>
  </sheetViews>
  <sheetFormatPr defaultRowHeight="18" x14ac:dyDescent="0.55000000000000004"/>
  <sheetData>
    <row r="1" spans="1:27" x14ac:dyDescent="0.55000000000000004">
      <c r="A1" t="s">
        <v>325</v>
      </c>
      <c r="B1" t="s">
        <v>320</v>
      </c>
      <c r="C1" s="4" t="s">
        <v>322</v>
      </c>
      <c r="D1" s="4"/>
      <c r="E1" s="4"/>
      <c r="F1" s="4"/>
      <c r="G1" s="4"/>
      <c r="H1" s="4"/>
      <c r="K1" t="s">
        <v>321</v>
      </c>
      <c r="L1" s="4" t="s">
        <v>322</v>
      </c>
      <c r="M1" s="4"/>
      <c r="N1" s="4"/>
      <c r="O1" s="4"/>
      <c r="P1" s="4"/>
      <c r="Q1" s="4"/>
      <c r="T1" t="s">
        <v>324</v>
      </c>
      <c r="U1" s="4" t="s">
        <v>322</v>
      </c>
      <c r="V1" s="4"/>
      <c r="W1" s="4"/>
      <c r="X1" s="4"/>
      <c r="Y1" s="4"/>
      <c r="Z1" s="4"/>
    </row>
    <row r="2" spans="1:27" x14ac:dyDescent="0.55000000000000004">
      <c r="A2" s="4" t="s">
        <v>323</v>
      </c>
      <c r="C2">
        <v>100</v>
      </c>
      <c r="D2">
        <v>150</v>
      </c>
      <c r="E2">
        <v>200</v>
      </c>
      <c r="F2">
        <v>250</v>
      </c>
      <c r="G2">
        <v>300</v>
      </c>
      <c r="H2">
        <v>350</v>
      </c>
      <c r="I2">
        <v>400</v>
      </c>
      <c r="J2" s="4" t="s">
        <v>323</v>
      </c>
      <c r="L2">
        <v>100</v>
      </c>
      <c r="M2">
        <v>150</v>
      </c>
      <c r="N2">
        <v>200</v>
      </c>
      <c r="O2">
        <v>250</v>
      </c>
      <c r="P2">
        <v>300</v>
      </c>
      <c r="Q2">
        <v>350</v>
      </c>
      <c r="R2">
        <v>400</v>
      </c>
      <c r="S2" s="4" t="s">
        <v>323</v>
      </c>
      <c r="U2">
        <v>100</v>
      </c>
      <c r="V2">
        <v>150</v>
      </c>
      <c r="W2">
        <v>200</v>
      </c>
      <c r="X2">
        <v>250</v>
      </c>
      <c r="Y2">
        <v>300</v>
      </c>
      <c r="Z2">
        <v>350</v>
      </c>
      <c r="AA2">
        <v>400</v>
      </c>
    </row>
    <row r="3" spans="1:27" x14ac:dyDescent="0.55000000000000004">
      <c r="A3" s="4"/>
      <c r="B3">
        <v>10</v>
      </c>
      <c r="C3" s="3"/>
      <c r="D3" s="3"/>
      <c r="E3" s="3"/>
      <c r="F3" s="3"/>
      <c r="G3" s="3"/>
      <c r="H3" s="3"/>
      <c r="I3" s="3"/>
      <c r="J3" s="4"/>
      <c r="K3">
        <v>10</v>
      </c>
      <c r="S3" s="4"/>
      <c r="T3">
        <v>10</v>
      </c>
    </row>
    <row r="4" spans="1:27" x14ac:dyDescent="0.55000000000000004">
      <c r="A4" s="4"/>
      <c r="B4">
        <v>25</v>
      </c>
      <c r="D4">
        <v>0.75201600000000002</v>
      </c>
      <c r="E4">
        <v>0.75399300000000002</v>
      </c>
      <c r="F4">
        <v>0.76200000000000001</v>
      </c>
      <c r="G4">
        <v>0.76757799999999998</v>
      </c>
      <c r="H4">
        <v>0.77532699999999999</v>
      </c>
      <c r="I4">
        <v>0.77253000000000005</v>
      </c>
      <c r="J4" s="4"/>
      <c r="K4">
        <v>25</v>
      </c>
      <c r="M4">
        <v>0.70128999999999997</v>
      </c>
      <c r="N4">
        <v>0.71334600000000004</v>
      </c>
      <c r="O4">
        <v>0.72599999999999998</v>
      </c>
      <c r="P4">
        <v>0.72399999999999998</v>
      </c>
      <c r="Q4">
        <v>0.73744799999999999</v>
      </c>
      <c r="R4">
        <v>0.74767899999999998</v>
      </c>
      <c r="S4" s="4"/>
      <c r="T4">
        <v>25</v>
      </c>
      <c r="V4">
        <v>0.76743300000000003</v>
      </c>
      <c r="W4">
        <v>0.77522800000000003</v>
      </c>
      <c r="X4">
        <v>0.78300000000000003</v>
      </c>
      <c r="Y4">
        <v>0.791126</v>
      </c>
      <c r="Z4">
        <v>0.79691900000000004</v>
      </c>
      <c r="AA4">
        <v>0.80222199999999999</v>
      </c>
    </row>
    <row r="5" spans="1:27" x14ac:dyDescent="0.55000000000000004">
      <c r="A5" s="4"/>
      <c r="B5">
        <v>30</v>
      </c>
      <c r="J5" s="4"/>
      <c r="K5">
        <v>30</v>
      </c>
      <c r="S5" s="4"/>
      <c r="T5">
        <v>30</v>
      </c>
    </row>
    <row r="6" spans="1:27" x14ac:dyDescent="0.55000000000000004">
      <c r="A6" s="4"/>
      <c r="B6">
        <v>40</v>
      </c>
      <c r="J6" s="4"/>
      <c r="K6">
        <v>40</v>
      </c>
      <c r="S6" s="4"/>
      <c r="T6">
        <v>40</v>
      </c>
    </row>
    <row r="7" spans="1:27" x14ac:dyDescent="0.55000000000000004">
      <c r="A7" s="4"/>
      <c r="B7">
        <v>50</v>
      </c>
      <c r="J7" s="4"/>
      <c r="K7">
        <v>50</v>
      </c>
      <c r="S7" s="4"/>
      <c r="T7">
        <v>50</v>
      </c>
    </row>
    <row r="8" spans="1:27" x14ac:dyDescent="0.55000000000000004">
      <c r="A8" s="4"/>
      <c r="B8">
        <v>60</v>
      </c>
      <c r="J8" s="4"/>
      <c r="K8">
        <v>60</v>
      </c>
      <c r="S8" s="4"/>
      <c r="T8">
        <v>60</v>
      </c>
    </row>
    <row r="11" spans="1:27" x14ac:dyDescent="0.55000000000000004">
      <c r="A11" t="s">
        <v>326</v>
      </c>
      <c r="B11" t="s">
        <v>320</v>
      </c>
      <c r="C11" s="4" t="s">
        <v>322</v>
      </c>
      <c r="D11" s="4"/>
      <c r="E11" s="4"/>
      <c r="F11" s="4"/>
      <c r="G11" s="4"/>
      <c r="H11" s="4"/>
      <c r="K11" t="s">
        <v>321</v>
      </c>
      <c r="L11" s="4" t="s">
        <v>322</v>
      </c>
      <c r="M11" s="4"/>
      <c r="N11" s="4"/>
      <c r="O11" s="4"/>
      <c r="P11" s="4"/>
      <c r="Q11" s="4"/>
      <c r="U11" s="4" t="s">
        <v>322</v>
      </c>
      <c r="V11" s="4"/>
      <c r="W11" s="4"/>
      <c r="X11" s="4"/>
      <c r="Y11" s="4"/>
      <c r="Z11" s="4"/>
    </row>
    <row r="12" spans="1:27" x14ac:dyDescent="0.55000000000000004">
      <c r="A12" s="4" t="s">
        <v>323</v>
      </c>
      <c r="C12">
        <v>100</v>
      </c>
      <c r="D12">
        <v>150</v>
      </c>
      <c r="E12">
        <v>200</v>
      </c>
      <c r="F12">
        <v>250</v>
      </c>
      <c r="G12">
        <v>300</v>
      </c>
      <c r="H12">
        <v>350</v>
      </c>
      <c r="I12">
        <v>400</v>
      </c>
      <c r="L12">
        <v>100</v>
      </c>
      <c r="M12">
        <v>150</v>
      </c>
      <c r="N12">
        <v>200</v>
      </c>
      <c r="O12">
        <v>250</v>
      </c>
      <c r="P12">
        <v>300</v>
      </c>
      <c r="Q12">
        <v>350</v>
      </c>
      <c r="R12">
        <v>400</v>
      </c>
      <c r="S12" s="4" t="s">
        <v>323</v>
      </c>
      <c r="U12">
        <v>100</v>
      </c>
      <c r="V12">
        <v>150</v>
      </c>
      <c r="W12">
        <v>200</v>
      </c>
      <c r="X12">
        <v>250</v>
      </c>
      <c r="Y12">
        <v>300</v>
      </c>
      <c r="Z12">
        <v>350</v>
      </c>
      <c r="AA12">
        <v>400</v>
      </c>
    </row>
    <row r="13" spans="1:27" x14ac:dyDescent="0.55000000000000004">
      <c r="A13" s="4"/>
      <c r="B13">
        <v>10</v>
      </c>
      <c r="C13" s="3"/>
      <c r="D13" s="3"/>
      <c r="E13" s="3"/>
      <c r="F13" s="3"/>
      <c r="G13" s="3"/>
      <c r="H13" s="3"/>
      <c r="I13" s="3"/>
      <c r="K13">
        <v>10</v>
      </c>
      <c r="S13" s="4"/>
      <c r="T13">
        <v>10</v>
      </c>
    </row>
    <row r="14" spans="1:27" x14ac:dyDescent="0.55000000000000004">
      <c r="A14" s="4"/>
      <c r="B14">
        <v>25</v>
      </c>
      <c r="D14">
        <v>0.73914100000000005</v>
      </c>
      <c r="E14">
        <v>0.74069700000000005</v>
      </c>
      <c r="F14">
        <v>0.746</v>
      </c>
      <c r="G14">
        <v>0.75282899999999997</v>
      </c>
      <c r="H14">
        <v>0.76100500000000004</v>
      </c>
      <c r="I14">
        <v>0.75860799999999995</v>
      </c>
      <c r="K14">
        <v>25</v>
      </c>
      <c r="M14">
        <v>0.678647</v>
      </c>
      <c r="N14">
        <v>0.72530899999999998</v>
      </c>
      <c r="O14">
        <v>0.7</v>
      </c>
      <c r="P14">
        <v>0.69824299999999995</v>
      </c>
      <c r="Q14">
        <v>0.71013000000000004</v>
      </c>
      <c r="R14">
        <v>0.72164700000000004</v>
      </c>
      <c r="S14" s="4"/>
      <c r="T14">
        <v>25</v>
      </c>
      <c r="V14">
        <v>0.77103100000000002</v>
      </c>
      <c r="W14">
        <v>0.77891100000000002</v>
      </c>
      <c r="X14">
        <v>0.78700000000000003</v>
      </c>
      <c r="Y14">
        <v>0.794014</v>
      </c>
      <c r="Z14">
        <v>0.80017099999999997</v>
      </c>
      <c r="AA14">
        <v>0.80525899999999995</v>
      </c>
    </row>
    <row r="15" spans="1:27" x14ac:dyDescent="0.55000000000000004">
      <c r="A15" s="4"/>
      <c r="B15">
        <v>30</v>
      </c>
      <c r="K15">
        <v>30</v>
      </c>
      <c r="S15" s="4"/>
      <c r="T15">
        <v>30</v>
      </c>
    </row>
    <row r="16" spans="1:27" x14ac:dyDescent="0.55000000000000004">
      <c r="A16" s="4"/>
      <c r="B16">
        <v>40</v>
      </c>
      <c r="K16">
        <v>40</v>
      </c>
      <c r="S16" s="4"/>
      <c r="T16">
        <v>40</v>
      </c>
    </row>
    <row r="17" spans="1:20" x14ac:dyDescent="0.55000000000000004">
      <c r="A17" s="4"/>
      <c r="B17">
        <v>50</v>
      </c>
      <c r="K17">
        <v>50</v>
      </c>
      <c r="S17" s="4"/>
      <c r="T17">
        <v>50</v>
      </c>
    </row>
    <row r="18" spans="1:20" x14ac:dyDescent="0.55000000000000004">
      <c r="A18" s="4"/>
      <c r="B18">
        <v>60</v>
      </c>
      <c r="K18">
        <v>60</v>
      </c>
      <c r="S18" s="4"/>
      <c r="T18">
        <v>60</v>
      </c>
    </row>
  </sheetData>
  <mergeCells count="11">
    <mergeCell ref="C1:H1"/>
    <mergeCell ref="A2:A8"/>
    <mergeCell ref="L1:Q1"/>
    <mergeCell ref="J2:J8"/>
    <mergeCell ref="U1:Z1"/>
    <mergeCell ref="S2:S8"/>
    <mergeCell ref="L11:Q11"/>
    <mergeCell ref="C11:H11"/>
    <mergeCell ref="A12:A18"/>
    <mergeCell ref="S12:S18"/>
    <mergeCell ref="U11:Z11"/>
  </mergeCells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2ADD-25A1-48C2-8792-BE95DF4D15FE}">
  <dimension ref="F2:I4"/>
  <sheetViews>
    <sheetView workbookViewId="0">
      <selection activeCell="F2" sqref="F2:G4"/>
    </sheetView>
  </sheetViews>
  <sheetFormatPr defaultRowHeight="18" x14ac:dyDescent="0.55000000000000004"/>
  <sheetData>
    <row r="2" spans="6:9" x14ac:dyDescent="0.55000000000000004">
      <c r="F2" t="s">
        <v>317</v>
      </c>
      <c r="G2" t="s">
        <v>327</v>
      </c>
    </row>
    <row r="3" spans="6:9" x14ac:dyDescent="0.55000000000000004">
      <c r="F3" t="s">
        <v>316</v>
      </c>
      <c r="G3" t="s">
        <v>328</v>
      </c>
    </row>
    <row r="4" spans="6:9" x14ac:dyDescent="0.55000000000000004">
      <c r="F4" t="s">
        <v>315</v>
      </c>
      <c r="G4" t="s">
        <v>329</v>
      </c>
      <c r="I4" t="s">
        <v>330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FC9F-42CE-4F8D-A149-93FDEFFDDF02}">
  <dimension ref="A1:L17"/>
  <sheetViews>
    <sheetView workbookViewId="0">
      <selection activeCell="L10" sqref="L10"/>
    </sheetView>
  </sheetViews>
  <sheetFormatPr defaultRowHeight="18" x14ac:dyDescent="0.55000000000000004"/>
  <sheetData>
    <row r="1" spans="1:12" x14ac:dyDescent="0.55000000000000004">
      <c r="A1" t="s">
        <v>279</v>
      </c>
      <c r="B1" t="s">
        <v>280</v>
      </c>
      <c r="C1" t="s">
        <v>281</v>
      </c>
      <c r="D1" t="s">
        <v>282</v>
      </c>
      <c r="E1" t="s">
        <v>283</v>
      </c>
      <c r="F1" t="s">
        <v>284</v>
      </c>
      <c r="G1" t="s">
        <v>285</v>
      </c>
      <c r="H1" t="s">
        <v>286</v>
      </c>
      <c r="I1" t="s">
        <v>287</v>
      </c>
      <c r="J1" t="s">
        <v>288</v>
      </c>
      <c r="K1" t="s">
        <v>289</v>
      </c>
      <c r="L1" t="s">
        <v>290</v>
      </c>
    </row>
    <row r="2" spans="1:12" x14ac:dyDescent="0.55000000000000004">
      <c r="A2" t="s">
        <v>291</v>
      </c>
      <c r="B2" t="s">
        <v>292</v>
      </c>
      <c r="C2" t="s">
        <v>293</v>
      </c>
      <c r="D2" t="s">
        <v>294</v>
      </c>
      <c r="E2" t="s">
        <v>295</v>
      </c>
      <c r="F2" t="b">
        <v>1</v>
      </c>
      <c r="G2">
        <v>3</v>
      </c>
      <c r="H2">
        <v>0</v>
      </c>
      <c r="I2">
        <v>8.8622184985545491</v>
      </c>
      <c r="J2">
        <v>85</v>
      </c>
      <c r="K2">
        <v>1.8158466937806601</v>
      </c>
      <c r="L2">
        <v>1.6723622048356599</v>
      </c>
    </row>
    <row r="3" spans="1:12" x14ac:dyDescent="0.55000000000000004">
      <c r="A3" t="s">
        <v>291</v>
      </c>
      <c r="B3" t="s">
        <v>292</v>
      </c>
      <c r="C3" t="s">
        <v>296</v>
      </c>
      <c r="D3" t="s">
        <v>294</v>
      </c>
      <c r="E3" t="s">
        <v>295</v>
      </c>
      <c r="F3" t="b">
        <v>1</v>
      </c>
      <c r="G3">
        <v>1</v>
      </c>
      <c r="H3" s="2">
        <v>3.5227376571356201E-12</v>
      </c>
      <c r="I3">
        <v>7.9773879233389398</v>
      </c>
      <c r="J3">
        <v>23</v>
      </c>
      <c r="K3">
        <v>1.8735981753842501</v>
      </c>
      <c r="L3">
        <v>0.96979066113234302</v>
      </c>
    </row>
    <row r="4" spans="1:12" x14ac:dyDescent="0.55000000000000004">
      <c r="A4" t="s">
        <v>291</v>
      </c>
      <c r="B4" t="s">
        <v>292</v>
      </c>
      <c r="C4" t="s">
        <v>297</v>
      </c>
      <c r="D4" t="s">
        <v>294</v>
      </c>
      <c r="E4" t="s">
        <v>295</v>
      </c>
      <c r="F4" t="b">
        <v>1</v>
      </c>
      <c r="G4">
        <v>2</v>
      </c>
      <c r="H4">
        <v>2.0256220166836499E-4</v>
      </c>
      <c r="I4">
        <v>4.5189583929784698</v>
      </c>
      <c r="J4">
        <v>17</v>
      </c>
      <c r="K4">
        <v>1.29438127441457</v>
      </c>
      <c r="L4">
        <v>0.75199163596444896</v>
      </c>
    </row>
    <row r="5" spans="1:12" x14ac:dyDescent="0.55000000000000004">
      <c r="A5" t="s">
        <v>291</v>
      </c>
      <c r="B5" t="s">
        <v>292</v>
      </c>
      <c r="C5" t="s">
        <v>298</v>
      </c>
      <c r="D5" t="s">
        <v>294</v>
      </c>
      <c r="E5" t="s">
        <v>295</v>
      </c>
      <c r="F5" t="b">
        <v>1</v>
      </c>
      <c r="G5">
        <v>2</v>
      </c>
      <c r="H5" s="2">
        <v>9.5901386985008907E-6</v>
      </c>
      <c r="I5">
        <v>9.3884733531235494</v>
      </c>
      <c r="J5">
        <v>11</v>
      </c>
      <c r="K5">
        <v>2.1041311435464198</v>
      </c>
      <c r="L5">
        <v>0.76106094128470403</v>
      </c>
    </row>
    <row r="6" spans="1:12" x14ac:dyDescent="0.55000000000000004">
      <c r="A6" t="s">
        <v>291</v>
      </c>
      <c r="B6" t="s">
        <v>292</v>
      </c>
      <c r="C6" t="s">
        <v>299</v>
      </c>
      <c r="D6" t="s">
        <v>294</v>
      </c>
      <c r="E6" t="s">
        <v>295</v>
      </c>
      <c r="F6" t="b">
        <v>1</v>
      </c>
      <c r="G6">
        <v>1</v>
      </c>
      <c r="H6">
        <v>3.0254152841710999E-3</v>
      </c>
      <c r="I6">
        <v>8.07942962571998</v>
      </c>
      <c r="J6">
        <v>8</v>
      </c>
      <c r="K6">
        <v>1.9831370632829299</v>
      </c>
      <c r="L6">
        <v>0.64094567494388699</v>
      </c>
    </row>
    <row r="7" spans="1:12" x14ac:dyDescent="0.55000000000000004">
      <c r="A7" t="s">
        <v>291</v>
      </c>
      <c r="B7" t="s">
        <v>292</v>
      </c>
      <c r="C7" t="s">
        <v>300</v>
      </c>
      <c r="D7" t="s">
        <v>294</v>
      </c>
      <c r="E7" t="s">
        <v>295</v>
      </c>
      <c r="F7" t="b">
        <v>1</v>
      </c>
      <c r="G7">
        <v>2</v>
      </c>
      <c r="H7" s="2">
        <v>4.7439956554207101E-6</v>
      </c>
      <c r="I7">
        <v>11.517216437698799</v>
      </c>
      <c r="J7">
        <v>7</v>
      </c>
      <c r="K7">
        <v>2.0618220372036098</v>
      </c>
      <c r="L7">
        <v>0.70609503388023498</v>
      </c>
    </row>
    <row r="8" spans="1:12" x14ac:dyDescent="0.55000000000000004">
      <c r="A8" t="s">
        <v>291</v>
      </c>
      <c r="B8" t="s">
        <v>292</v>
      </c>
      <c r="C8" t="s">
        <v>301</v>
      </c>
      <c r="D8" t="s">
        <v>294</v>
      </c>
      <c r="E8" t="s">
        <v>295</v>
      </c>
      <c r="F8" t="b">
        <v>1</v>
      </c>
      <c r="G8">
        <v>1</v>
      </c>
      <c r="H8" s="2">
        <v>8.58004980397453E-7</v>
      </c>
      <c r="I8">
        <v>8.20276793511165</v>
      </c>
      <c r="J8">
        <v>3</v>
      </c>
      <c r="K8">
        <v>1.9834843705279801</v>
      </c>
      <c r="L8">
        <v>0.70946983906630101</v>
      </c>
    </row>
    <row r="9" spans="1:12" x14ac:dyDescent="0.55000000000000004">
      <c r="A9" t="s">
        <v>291</v>
      </c>
      <c r="B9" t="s">
        <v>292</v>
      </c>
      <c r="C9" t="s">
        <v>302</v>
      </c>
      <c r="D9" t="s">
        <v>294</v>
      </c>
      <c r="E9" t="s">
        <v>295</v>
      </c>
      <c r="F9" t="b">
        <v>1</v>
      </c>
      <c r="G9">
        <v>1</v>
      </c>
      <c r="H9">
        <v>1.9769325164473401E-2</v>
      </c>
      <c r="I9">
        <v>5.0067318015398001</v>
      </c>
      <c r="J9">
        <v>2</v>
      </c>
      <c r="K9">
        <v>1.44060654295382</v>
      </c>
      <c r="L9">
        <v>0.45675929679730198</v>
      </c>
    </row>
    <row r="10" spans="1:12" x14ac:dyDescent="0.55000000000000004">
      <c r="A10" t="s">
        <v>291</v>
      </c>
      <c r="B10" t="s">
        <v>292</v>
      </c>
      <c r="C10" t="s">
        <v>303</v>
      </c>
      <c r="D10" t="s">
        <v>294</v>
      </c>
      <c r="E10" t="s">
        <v>295</v>
      </c>
      <c r="F10" t="b">
        <v>1</v>
      </c>
      <c r="G10">
        <v>1</v>
      </c>
      <c r="H10">
        <v>1.6244993776671299E-2</v>
      </c>
      <c r="I10">
        <v>5.6108266911996196</v>
      </c>
      <c r="J10">
        <v>0</v>
      </c>
      <c r="K10">
        <v>1.6917278998571099</v>
      </c>
      <c r="L10">
        <v>0.29627731775274802</v>
      </c>
    </row>
    <row r="11" spans="1:12" x14ac:dyDescent="0.55000000000000004">
      <c r="A11" t="s">
        <v>291</v>
      </c>
      <c r="B11" t="s">
        <v>292</v>
      </c>
      <c r="C11" t="s">
        <v>304</v>
      </c>
      <c r="D11" t="s">
        <v>294</v>
      </c>
      <c r="E11" t="s">
        <v>295</v>
      </c>
      <c r="F11" t="b">
        <v>1</v>
      </c>
      <c r="G11">
        <v>1</v>
      </c>
      <c r="H11">
        <v>1.8905748897980398E-2</v>
      </c>
      <c r="I11">
        <v>5.64984801430976</v>
      </c>
      <c r="J11">
        <v>0</v>
      </c>
      <c r="K11">
        <v>1.7034932714545901</v>
      </c>
      <c r="L11">
        <v>0.55942848854649796</v>
      </c>
    </row>
    <row r="12" spans="1:12" x14ac:dyDescent="0.55000000000000004">
      <c r="A12" t="s">
        <v>291</v>
      </c>
      <c r="B12" t="s">
        <v>292</v>
      </c>
      <c r="C12" t="s">
        <v>305</v>
      </c>
      <c r="D12" t="s">
        <v>294</v>
      </c>
      <c r="E12" t="s">
        <v>295</v>
      </c>
      <c r="F12" t="b">
        <v>0</v>
      </c>
      <c r="G12">
        <v>0</v>
      </c>
      <c r="H12">
        <v>1</v>
      </c>
      <c r="I12">
        <v>0</v>
      </c>
      <c r="J12">
        <v>0</v>
      </c>
      <c r="L12">
        <v>0.18928638591229999</v>
      </c>
    </row>
    <row r="13" spans="1:12" x14ac:dyDescent="0.55000000000000004">
      <c r="A13" t="s">
        <v>291</v>
      </c>
      <c r="B13" t="s">
        <v>292</v>
      </c>
      <c r="C13" t="s">
        <v>306</v>
      </c>
      <c r="D13" t="s">
        <v>294</v>
      </c>
      <c r="E13" t="s">
        <v>295</v>
      </c>
      <c r="F13" t="b">
        <v>0</v>
      </c>
      <c r="G13">
        <v>0</v>
      </c>
      <c r="H13">
        <v>1</v>
      </c>
      <c r="I13">
        <v>0</v>
      </c>
      <c r="J13">
        <v>0</v>
      </c>
      <c r="L13">
        <v>0.33227693291293597</v>
      </c>
    </row>
    <row r="14" spans="1:12" x14ac:dyDescent="0.55000000000000004">
      <c r="A14" t="s">
        <v>291</v>
      </c>
      <c r="B14" t="s">
        <v>292</v>
      </c>
      <c r="C14" t="s">
        <v>307</v>
      </c>
      <c r="D14" t="s">
        <v>294</v>
      </c>
      <c r="E14" t="s">
        <v>295</v>
      </c>
      <c r="F14" t="b">
        <v>0</v>
      </c>
      <c r="G14">
        <v>0</v>
      </c>
      <c r="H14">
        <v>1</v>
      </c>
      <c r="I14">
        <v>0</v>
      </c>
      <c r="J14">
        <v>0</v>
      </c>
      <c r="L14">
        <v>5.4649743627532402E-2</v>
      </c>
    </row>
    <row r="15" spans="1:12" x14ac:dyDescent="0.55000000000000004">
      <c r="A15" t="s">
        <v>291</v>
      </c>
      <c r="B15" t="s">
        <v>292</v>
      </c>
      <c r="C15" t="s">
        <v>308</v>
      </c>
      <c r="D15" t="s">
        <v>294</v>
      </c>
      <c r="E15" t="s">
        <v>295</v>
      </c>
      <c r="F15" t="b">
        <v>0</v>
      </c>
      <c r="G15">
        <v>0</v>
      </c>
      <c r="H15">
        <v>1</v>
      </c>
      <c r="I15">
        <v>0</v>
      </c>
      <c r="J15">
        <v>0</v>
      </c>
      <c r="L15">
        <v>0.30688986047026401</v>
      </c>
    </row>
    <row r="16" spans="1:12" x14ac:dyDescent="0.55000000000000004">
      <c r="A16" t="s">
        <v>291</v>
      </c>
      <c r="B16" t="s">
        <v>292</v>
      </c>
      <c r="C16" t="s">
        <v>309</v>
      </c>
      <c r="D16" t="s">
        <v>294</v>
      </c>
      <c r="E16" t="s">
        <v>295</v>
      </c>
      <c r="F16" t="b">
        <v>0</v>
      </c>
      <c r="G16">
        <v>0</v>
      </c>
      <c r="H16">
        <v>1</v>
      </c>
      <c r="I16">
        <v>0</v>
      </c>
      <c r="J16">
        <v>0</v>
      </c>
      <c r="L16">
        <v>7.2255442171191606E-2</v>
      </c>
    </row>
    <row r="17" spans="1:12" x14ac:dyDescent="0.55000000000000004">
      <c r="A17" t="s">
        <v>291</v>
      </c>
      <c r="B17" t="s">
        <v>292</v>
      </c>
      <c r="C17" t="s">
        <v>310</v>
      </c>
      <c r="D17" t="s">
        <v>294</v>
      </c>
      <c r="E17" t="s">
        <v>295</v>
      </c>
      <c r="F17" t="b">
        <v>0</v>
      </c>
      <c r="G17">
        <v>0</v>
      </c>
      <c r="H17">
        <v>1</v>
      </c>
      <c r="I17">
        <v>0</v>
      </c>
      <c r="J17">
        <v>0</v>
      </c>
      <c r="L17">
        <v>0.65433535457952097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35AF9-6CD6-4C55-A6DB-A1328E9382E2}">
  <dimension ref="C6:G33"/>
  <sheetViews>
    <sheetView topLeftCell="A35" workbookViewId="0">
      <selection activeCell="V23" sqref="V23"/>
    </sheetView>
  </sheetViews>
  <sheetFormatPr defaultRowHeight="18" x14ac:dyDescent="0.55000000000000004"/>
  <sheetData>
    <row r="6" spans="3:7" x14ac:dyDescent="0.55000000000000004">
      <c r="C6" t="s">
        <v>13</v>
      </c>
      <c r="D6" s="4" t="s">
        <v>9</v>
      </c>
      <c r="E6" s="4">
        <v>1</v>
      </c>
      <c r="F6" t="s">
        <v>14</v>
      </c>
      <c r="G6">
        <v>0.77609300000000003</v>
      </c>
    </row>
    <row r="7" spans="3:7" x14ac:dyDescent="0.55000000000000004">
      <c r="C7" t="s">
        <v>13</v>
      </c>
      <c r="D7" s="4"/>
      <c r="E7" s="4"/>
      <c r="F7" t="s">
        <v>15</v>
      </c>
      <c r="G7">
        <v>0.77444500000000005</v>
      </c>
    </row>
    <row r="8" spans="3:7" x14ac:dyDescent="0.55000000000000004">
      <c r="C8" t="s">
        <v>13</v>
      </c>
      <c r="D8" s="4"/>
      <c r="E8" s="4">
        <v>2</v>
      </c>
      <c r="F8" t="s">
        <v>14</v>
      </c>
      <c r="G8">
        <v>0.76588800000000001</v>
      </c>
    </row>
    <row r="9" spans="3:7" x14ac:dyDescent="0.55000000000000004">
      <c r="C9" t="s">
        <v>13</v>
      </c>
      <c r="D9" s="4"/>
      <c r="E9" s="4"/>
      <c r="F9" t="s">
        <v>15</v>
      </c>
      <c r="G9">
        <v>0.755135</v>
      </c>
    </row>
    <row r="10" spans="3:7" x14ac:dyDescent="0.55000000000000004">
      <c r="C10" t="s">
        <v>13</v>
      </c>
      <c r="D10" s="4"/>
      <c r="E10" s="4">
        <v>3</v>
      </c>
      <c r="F10" t="s">
        <v>14</v>
      </c>
      <c r="G10">
        <v>0.36258299999999999</v>
      </c>
    </row>
    <row r="11" spans="3:7" x14ac:dyDescent="0.55000000000000004">
      <c r="C11" t="s">
        <v>13</v>
      </c>
      <c r="D11" s="4"/>
      <c r="E11" s="4"/>
      <c r="F11" t="s">
        <v>15</v>
      </c>
      <c r="G11">
        <v>0.29983700000000002</v>
      </c>
    </row>
    <row r="12" spans="3:7" x14ac:dyDescent="0.55000000000000004">
      <c r="C12" t="s">
        <v>13</v>
      </c>
      <c r="D12" s="4"/>
      <c r="E12" s="4">
        <v>4</v>
      </c>
      <c r="F12" t="s">
        <v>14</v>
      </c>
      <c r="G12">
        <v>0.759077</v>
      </c>
    </row>
    <row r="13" spans="3:7" x14ac:dyDescent="0.55000000000000004">
      <c r="C13" t="s">
        <v>13</v>
      </c>
      <c r="D13" s="4"/>
      <c r="E13" s="4"/>
      <c r="F13" t="s">
        <v>15</v>
      </c>
      <c r="G13">
        <v>0.74467099999999997</v>
      </c>
    </row>
    <row r="14" spans="3:7" x14ac:dyDescent="0.55000000000000004">
      <c r="C14" t="s">
        <v>13</v>
      </c>
      <c r="D14" s="4"/>
      <c r="E14" s="4">
        <v>5</v>
      </c>
      <c r="F14" t="s">
        <v>14</v>
      </c>
      <c r="G14">
        <v>0.41308099999999998</v>
      </c>
    </row>
    <row r="15" spans="3:7" x14ac:dyDescent="0.55000000000000004">
      <c r="C15" t="s">
        <v>13</v>
      </c>
      <c r="D15" s="4"/>
      <c r="E15" s="4"/>
      <c r="F15" t="s">
        <v>15</v>
      </c>
      <c r="G15">
        <v>0.38218999999999997</v>
      </c>
    </row>
    <row r="16" spans="3:7" x14ac:dyDescent="0.55000000000000004">
      <c r="C16" t="s">
        <v>13</v>
      </c>
      <c r="D16" s="4"/>
      <c r="E16" s="4">
        <v>6</v>
      </c>
      <c r="F16" t="s">
        <v>14</v>
      </c>
      <c r="G16">
        <v>0.83130899999999996</v>
      </c>
    </row>
    <row r="17" spans="3:7" x14ac:dyDescent="0.55000000000000004">
      <c r="C17" t="s">
        <v>13</v>
      </c>
      <c r="D17" s="4"/>
      <c r="E17" s="4"/>
      <c r="F17" t="s">
        <v>15</v>
      </c>
      <c r="G17">
        <v>0.82740000000000002</v>
      </c>
    </row>
    <row r="18" spans="3:7" x14ac:dyDescent="0.55000000000000004">
      <c r="C18" s="4" t="s">
        <v>16</v>
      </c>
      <c r="D18" s="4"/>
      <c r="E18" s="4" t="s">
        <v>16</v>
      </c>
      <c r="F18" t="s">
        <v>14</v>
      </c>
      <c r="G18">
        <v>0.65133799999999997</v>
      </c>
    </row>
    <row r="19" spans="3:7" x14ac:dyDescent="0.55000000000000004">
      <c r="C19" s="4"/>
      <c r="D19" s="4"/>
      <c r="E19" s="4"/>
      <c r="F19" t="s">
        <v>15</v>
      </c>
      <c r="G19">
        <v>0.63061299999999998</v>
      </c>
    </row>
    <row r="20" spans="3:7" x14ac:dyDescent="0.55000000000000004">
      <c r="C20" t="s">
        <v>13</v>
      </c>
      <c r="D20" s="4" t="s">
        <v>10</v>
      </c>
      <c r="E20" s="4">
        <v>1</v>
      </c>
      <c r="F20" t="s">
        <v>14</v>
      </c>
      <c r="G20">
        <v>0.70539700000000005</v>
      </c>
    </row>
    <row r="21" spans="3:7" x14ac:dyDescent="0.55000000000000004">
      <c r="C21" t="s">
        <v>13</v>
      </c>
      <c r="D21" s="4"/>
      <c r="E21" s="4"/>
      <c r="F21" t="s">
        <v>15</v>
      </c>
      <c r="G21">
        <v>0.703457</v>
      </c>
    </row>
    <row r="22" spans="3:7" x14ac:dyDescent="0.55000000000000004">
      <c r="C22" t="s">
        <v>13</v>
      </c>
      <c r="D22" s="4"/>
      <c r="E22" s="4">
        <v>2</v>
      </c>
      <c r="F22" t="s">
        <v>14</v>
      </c>
      <c r="G22">
        <v>0.60690500000000003</v>
      </c>
    </row>
    <row r="23" spans="3:7" x14ac:dyDescent="0.55000000000000004">
      <c r="C23" t="s">
        <v>13</v>
      </c>
      <c r="D23" s="4"/>
      <c r="E23" s="4"/>
      <c r="F23" t="s">
        <v>15</v>
      </c>
      <c r="G23">
        <v>0.53219499999999997</v>
      </c>
    </row>
    <row r="24" spans="3:7" x14ac:dyDescent="0.55000000000000004">
      <c r="C24" t="s">
        <v>13</v>
      </c>
      <c r="D24" s="4"/>
      <c r="E24" s="4">
        <v>3</v>
      </c>
      <c r="F24" t="s">
        <v>14</v>
      </c>
      <c r="G24">
        <v>0.746753</v>
      </c>
    </row>
    <row r="25" spans="3:7" x14ac:dyDescent="0.55000000000000004">
      <c r="C25" t="s">
        <v>13</v>
      </c>
      <c r="D25" s="4"/>
      <c r="E25" s="4"/>
      <c r="F25" t="s">
        <v>15</v>
      </c>
      <c r="G25">
        <v>0.68967699999999998</v>
      </c>
    </row>
    <row r="26" spans="3:7" x14ac:dyDescent="0.55000000000000004">
      <c r="C26" t="s">
        <v>13</v>
      </c>
      <c r="D26" s="4"/>
      <c r="E26" s="4">
        <v>4</v>
      </c>
      <c r="F26" t="s">
        <v>14</v>
      </c>
      <c r="G26">
        <v>0.77542500000000003</v>
      </c>
    </row>
    <row r="27" spans="3:7" x14ac:dyDescent="0.55000000000000004">
      <c r="C27" t="s">
        <v>13</v>
      </c>
      <c r="D27" s="4"/>
      <c r="E27" s="4"/>
      <c r="F27" t="s">
        <v>15</v>
      </c>
      <c r="G27">
        <v>0.67270099999999999</v>
      </c>
    </row>
    <row r="28" spans="3:7" x14ac:dyDescent="0.55000000000000004">
      <c r="C28" t="s">
        <v>13</v>
      </c>
      <c r="D28" s="4"/>
      <c r="E28" s="4">
        <v>5</v>
      </c>
      <c r="F28" t="s">
        <v>14</v>
      </c>
      <c r="G28">
        <v>0.77866900000000006</v>
      </c>
    </row>
    <row r="29" spans="3:7" x14ac:dyDescent="0.55000000000000004">
      <c r="C29" t="s">
        <v>13</v>
      </c>
      <c r="D29" s="4"/>
      <c r="E29" s="4"/>
      <c r="F29" t="s">
        <v>15</v>
      </c>
      <c r="G29">
        <v>0.76502499999999996</v>
      </c>
    </row>
    <row r="30" spans="3:7" x14ac:dyDescent="0.55000000000000004">
      <c r="C30" t="s">
        <v>13</v>
      </c>
      <c r="D30" s="4"/>
      <c r="E30" s="4">
        <v>6</v>
      </c>
      <c r="F30" t="s">
        <v>14</v>
      </c>
      <c r="G30">
        <v>0.58933999999999997</v>
      </c>
    </row>
    <row r="31" spans="3:7" x14ac:dyDescent="0.55000000000000004">
      <c r="C31" t="s">
        <v>13</v>
      </c>
      <c r="D31" s="4"/>
      <c r="E31" s="4"/>
      <c r="F31" t="s">
        <v>15</v>
      </c>
      <c r="G31">
        <v>0.55411100000000002</v>
      </c>
    </row>
    <row r="32" spans="3:7" x14ac:dyDescent="0.55000000000000004">
      <c r="C32" s="4" t="s">
        <v>16</v>
      </c>
      <c r="D32" s="4"/>
      <c r="E32" s="4" t="s">
        <v>16</v>
      </c>
      <c r="F32" t="s">
        <v>14</v>
      </c>
      <c r="G32">
        <v>0.70041500000000001</v>
      </c>
    </row>
    <row r="33" spans="3:7" x14ac:dyDescent="0.55000000000000004">
      <c r="C33" s="4"/>
      <c r="D33" s="4"/>
      <c r="E33" s="4"/>
      <c r="F33" t="s">
        <v>15</v>
      </c>
      <c r="G33">
        <v>0.65286100000000002</v>
      </c>
    </row>
  </sheetData>
  <mergeCells count="18">
    <mergeCell ref="C32:C33"/>
    <mergeCell ref="E32:E33"/>
    <mergeCell ref="C18:C19"/>
    <mergeCell ref="E18:E19"/>
    <mergeCell ref="D6:D19"/>
    <mergeCell ref="D20:D33"/>
    <mergeCell ref="E20:E21"/>
    <mergeCell ref="E22:E23"/>
    <mergeCell ref="E24:E25"/>
    <mergeCell ref="E26:E27"/>
    <mergeCell ref="E28:E29"/>
    <mergeCell ref="E6:E7"/>
    <mergeCell ref="E8:E9"/>
    <mergeCell ref="E10:E11"/>
    <mergeCell ref="E12:E13"/>
    <mergeCell ref="E14:E15"/>
    <mergeCell ref="E16:E17"/>
    <mergeCell ref="E30:E31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kanoga</vt:lpstr>
      <vt:lpstr>kaneishi</vt:lpstr>
      <vt:lpstr>all</vt:lpstr>
      <vt:lpstr>ハイパーパラメータ</vt:lpstr>
      <vt:lpstr>特徴量</vt:lpstr>
      <vt:lpstr>Sheet1</vt:lpstr>
      <vt:lpstr>k-fold and LOSO</vt:lpstr>
      <vt:lpstr>ウィンドウサイズ検討</vt:lpstr>
      <vt:lpstr>Sheet2</vt:lpstr>
      <vt:lpstr>dz</vt:lpstr>
      <vt:lpstr>k-fold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諒人 村田</dc:creator>
  <cp:lastModifiedBy>諒人 村田</cp:lastModifiedBy>
  <dcterms:created xsi:type="dcterms:W3CDTF">2025-10-08T02:26:59Z</dcterms:created>
  <dcterms:modified xsi:type="dcterms:W3CDTF">2025-11-19T02:38:35Z</dcterms:modified>
</cp:coreProperties>
</file>